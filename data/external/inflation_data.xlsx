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id\Desktop\Studia\Artykuł\Dane\"/>
    </mc:Choice>
  </mc:AlternateContent>
  <xr:revisionPtr revIDLastSave="0" documentId="13_ncr:1_{B6BA1657-F1CA-4ED6-9368-E06D48ED95F0}" xr6:coauthVersionLast="47" xr6:coauthVersionMax="47" xr10:uidLastSave="{00000000-0000-0000-0000-000000000000}"/>
  <bookViews>
    <workbookView xWindow="-120" yWindow="-120" windowWidth="29040" windowHeight="17520" xr2:uid="{E9D4D127-605E-4A9B-BC80-C850193A5E00}"/>
  </bookViews>
  <sheets>
    <sheet name="Data" sheetId="4" r:id="rId1"/>
    <sheet name="Inflation" sheetId="12" r:id="rId2"/>
    <sheet name="Interest Rate" sheetId="8" r:id="rId3"/>
    <sheet name="M2" sheetId="9" r:id="rId4"/>
    <sheet name="Industry Production" sheetId="11" r:id="rId5"/>
    <sheet name="Import Export" sheetId="7" r:id="rId6"/>
    <sheet name="USDPLN" sheetId="6" r:id="rId7"/>
    <sheet name="Foreign Reservs" sheetId="10" r:id="rId8"/>
  </sheets>
  <definedNames>
    <definedName name="ExternalData_1" localSheetId="2" hidden="1">'Interest Rate'!$A$1:$B$216</definedName>
    <definedName name="ExternalData_1" localSheetId="6" hidden="1">USDPLN!$A$1:$B$498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" i="4"/>
  <c r="B18" i="4"/>
  <c r="B20" i="4"/>
  <c r="B25" i="4"/>
  <c r="B30" i="4"/>
  <c r="B32" i="4"/>
  <c r="B37" i="4"/>
  <c r="B42" i="4"/>
  <c r="B44" i="4"/>
  <c r="B49" i="4"/>
  <c r="B54" i="4"/>
  <c r="B56" i="4"/>
  <c r="B61" i="4"/>
  <c r="B66" i="4"/>
  <c r="B68" i="4"/>
  <c r="B73" i="4"/>
  <c r="B78" i="4"/>
  <c r="B80" i="4"/>
  <c r="B85" i="4"/>
  <c r="B90" i="4"/>
  <c r="B92" i="4"/>
  <c r="B97" i="4"/>
  <c r="B102" i="4"/>
  <c r="B104" i="4"/>
  <c r="B109" i="4"/>
  <c r="B114" i="4"/>
  <c r="B116" i="4"/>
  <c r="B121" i="4"/>
  <c r="B126" i="4"/>
  <c r="B128" i="4"/>
  <c r="B133" i="4"/>
  <c r="B138" i="4"/>
  <c r="B140" i="4"/>
  <c r="B145" i="4"/>
  <c r="B150" i="4"/>
  <c r="B152" i="4"/>
  <c r="B157" i="4"/>
  <c r="B162" i="4"/>
  <c r="B164" i="4"/>
  <c r="B169" i="4"/>
  <c r="B174" i="4"/>
  <c r="B176" i="4"/>
  <c r="B181" i="4"/>
  <c r="B186" i="4"/>
  <c r="B188" i="4"/>
  <c r="B193" i="4"/>
  <c r="B198" i="4"/>
  <c r="B200" i="4"/>
  <c r="B205" i="4"/>
  <c r="B210" i="4"/>
  <c r="B212" i="4"/>
  <c r="B217" i="4"/>
  <c r="B222" i="4"/>
  <c r="B224" i="4"/>
  <c r="B229" i="4"/>
  <c r="B234" i="4"/>
  <c r="B236" i="4"/>
  <c r="B241" i="4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" i="11"/>
  <c r="C3" i="12"/>
  <c r="B3" i="4" s="1"/>
  <c r="C4" i="12"/>
  <c r="B4" i="4" s="1"/>
  <c r="C5" i="12"/>
  <c r="B5" i="4" s="1"/>
  <c r="C6" i="12"/>
  <c r="B6" i="4" s="1"/>
  <c r="C7" i="12"/>
  <c r="B7" i="4" s="1"/>
  <c r="C8" i="12"/>
  <c r="B8" i="4" s="1"/>
  <c r="C9" i="12"/>
  <c r="B9" i="4" s="1"/>
  <c r="C10" i="12"/>
  <c r="B10" i="4" s="1"/>
  <c r="C11" i="12"/>
  <c r="B11" i="4" s="1"/>
  <c r="C12" i="12"/>
  <c r="B12" i="4" s="1"/>
  <c r="C13" i="12"/>
  <c r="B13" i="4" s="1"/>
  <c r="C14" i="12"/>
  <c r="B14" i="4" s="1"/>
  <c r="C15" i="12"/>
  <c r="B15" i="4" s="1"/>
  <c r="C16" i="12"/>
  <c r="B16" i="4" s="1"/>
  <c r="C17" i="12"/>
  <c r="B17" i="4" s="1"/>
  <c r="C18" i="12"/>
  <c r="C19" i="12"/>
  <c r="B19" i="4" s="1"/>
  <c r="C20" i="12"/>
  <c r="C21" i="12"/>
  <c r="B21" i="4" s="1"/>
  <c r="C22" i="12"/>
  <c r="B22" i="4" s="1"/>
  <c r="C23" i="12"/>
  <c r="B23" i="4" s="1"/>
  <c r="C24" i="12"/>
  <c r="B24" i="4" s="1"/>
  <c r="C25" i="12"/>
  <c r="C26" i="12"/>
  <c r="B26" i="4" s="1"/>
  <c r="C27" i="12"/>
  <c r="B27" i="4" s="1"/>
  <c r="C28" i="12"/>
  <c r="B28" i="4" s="1"/>
  <c r="C29" i="12"/>
  <c r="B29" i="4" s="1"/>
  <c r="C30" i="12"/>
  <c r="C31" i="12"/>
  <c r="B31" i="4" s="1"/>
  <c r="C32" i="12"/>
  <c r="C33" i="12"/>
  <c r="B33" i="4" s="1"/>
  <c r="C34" i="12"/>
  <c r="B34" i="4" s="1"/>
  <c r="C35" i="12"/>
  <c r="B35" i="4" s="1"/>
  <c r="C36" i="12"/>
  <c r="B36" i="4" s="1"/>
  <c r="C37" i="12"/>
  <c r="C38" i="12"/>
  <c r="B38" i="4" s="1"/>
  <c r="C39" i="12"/>
  <c r="B39" i="4" s="1"/>
  <c r="C40" i="12"/>
  <c r="B40" i="4" s="1"/>
  <c r="C41" i="12"/>
  <c r="B41" i="4" s="1"/>
  <c r="C42" i="12"/>
  <c r="C43" i="12"/>
  <c r="B43" i="4" s="1"/>
  <c r="C44" i="12"/>
  <c r="C45" i="12"/>
  <c r="B45" i="4" s="1"/>
  <c r="C46" i="12"/>
  <c r="B46" i="4" s="1"/>
  <c r="C47" i="12"/>
  <c r="B47" i="4" s="1"/>
  <c r="C48" i="12"/>
  <c r="B48" i="4" s="1"/>
  <c r="C49" i="12"/>
  <c r="C50" i="12"/>
  <c r="B50" i="4" s="1"/>
  <c r="C51" i="12"/>
  <c r="B51" i="4" s="1"/>
  <c r="C52" i="12"/>
  <c r="B52" i="4" s="1"/>
  <c r="C53" i="12"/>
  <c r="B53" i="4" s="1"/>
  <c r="C54" i="12"/>
  <c r="C55" i="12"/>
  <c r="B55" i="4" s="1"/>
  <c r="C56" i="12"/>
  <c r="C57" i="12"/>
  <c r="B57" i="4" s="1"/>
  <c r="C58" i="12"/>
  <c r="B58" i="4" s="1"/>
  <c r="C59" i="12"/>
  <c r="B59" i="4" s="1"/>
  <c r="C60" i="12"/>
  <c r="B60" i="4" s="1"/>
  <c r="C61" i="12"/>
  <c r="C62" i="12"/>
  <c r="B62" i="4" s="1"/>
  <c r="C63" i="12"/>
  <c r="B63" i="4" s="1"/>
  <c r="C64" i="12"/>
  <c r="B64" i="4" s="1"/>
  <c r="C65" i="12"/>
  <c r="B65" i="4" s="1"/>
  <c r="C66" i="12"/>
  <c r="C67" i="12"/>
  <c r="B67" i="4" s="1"/>
  <c r="C68" i="12"/>
  <c r="C69" i="12"/>
  <c r="B69" i="4" s="1"/>
  <c r="C70" i="12"/>
  <c r="B70" i="4" s="1"/>
  <c r="C71" i="12"/>
  <c r="B71" i="4" s="1"/>
  <c r="C72" i="12"/>
  <c r="B72" i="4" s="1"/>
  <c r="C73" i="12"/>
  <c r="C74" i="12"/>
  <c r="B74" i="4" s="1"/>
  <c r="C75" i="12"/>
  <c r="B75" i="4" s="1"/>
  <c r="C76" i="12"/>
  <c r="B76" i="4" s="1"/>
  <c r="C77" i="12"/>
  <c r="B77" i="4" s="1"/>
  <c r="C78" i="12"/>
  <c r="C79" i="12"/>
  <c r="B79" i="4" s="1"/>
  <c r="C80" i="12"/>
  <c r="C81" i="12"/>
  <c r="B81" i="4" s="1"/>
  <c r="C82" i="12"/>
  <c r="B82" i="4" s="1"/>
  <c r="C83" i="12"/>
  <c r="B83" i="4" s="1"/>
  <c r="C84" i="12"/>
  <c r="B84" i="4" s="1"/>
  <c r="C85" i="12"/>
  <c r="C86" i="12"/>
  <c r="B86" i="4" s="1"/>
  <c r="C87" i="12"/>
  <c r="B87" i="4" s="1"/>
  <c r="C88" i="12"/>
  <c r="B88" i="4" s="1"/>
  <c r="C89" i="12"/>
  <c r="B89" i="4" s="1"/>
  <c r="C90" i="12"/>
  <c r="C91" i="12"/>
  <c r="B91" i="4" s="1"/>
  <c r="C92" i="12"/>
  <c r="C93" i="12"/>
  <c r="B93" i="4" s="1"/>
  <c r="C94" i="12"/>
  <c r="B94" i="4" s="1"/>
  <c r="C95" i="12"/>
  <c r="B95" i="4" s="1"/>
  <c r="C96" i="12"/>
  <c r="B96" i="4" s="1"/>
  <c r="C97" i="12"/>
  <c r="C98" i="12"/>
  <c r="B98" i="4" s="1"/>
  <c r="C99" i="12"/>
  <c r="B99" i="4" s="1"/>
  <c r="C100" i="12"/>
  <c r="B100" i="4" s="1"/>
  <c r="C101" i="12"/>
  <c r="B101" i="4" s="1"/>
  <c r="C102" i="12"/>
  <c r="C103" i="12"/>
  <c r="B103" i="4" s="1"/>
  <c r="C104" i="12"/>
  <c r="C105" i="12"/>
  <c r="B105" i="4" s="1"/>
  <c r="C106" i="12"/>
  <c r="B106" i="4" s="1"/>
  <c r="C107" i="12"/>
  <c r="B107" i="4" s="1"/>
  <c r="C108" i="12"/>
  <c r="B108" i="4" s="1"/>
  <c r="C109" i="12"/>
  <c r="C110" i="12"/>
  <c r="B110" i="4" s="1"/>
  <c r="C111" i="12"/>
  <c r="B111" i="4" s="1"/>
  <c r="C112" i="12"/>
  <c r="B112" i="4" s="1"/>
  <c r="C113" i="12"/>
  <c r="B113" i="4" s="1"/>
  <c r="C114" i="12"/>
  <c r="C115" i="12"/>
  <c r="B115" i="4" s="1"/>
  <c r="C116" i="12"/>
  <c r="C117" i="12"/>
  <c r="B117" i="4" s="1"/>
  <c r="C118" i="12"/>
  <c r="B118" i="4" s="1"/>
  <c r="C119" i="12"/>
  <c r="B119" i="4" s="1"/>
  <c r="C120" i="12"/>
  <c r="B120" i="4" s="1"/>
  <c r="C121" i="12"/>
  <c r="C122" i="12"/>
  <c r="B122" i="4" s="1"/>
  <c r="C123" i="12"/>
  <c r="B123" i="4" s="1"/>
  <c r="C124" i="12"/>
  <c r="B124" i="4" s="1"/>
  <c r="C125" i="12"/>
  <c r="B125" i="4" s="1"/>
  <c r="C126" i="12"/>
  <c r="C127" i="12"/>
  <c r="B127" i="4" s="1"/>
  <c r="C128" i="12"/>
  <c r="C129" i="12"/>
  <c r="B129" i="4" s="1"/>
  <c r="C130" i="12"/>
  <c r="B130" i="4" s="1"/>
  <c r="C131" i="12"/>
  <c r="B131" i="4" s="1"/>
  <c r="C132" i="12"/>
  <c r="B132" i="4" s="1"/>
  <c r="C133" i="12"/>
  <c r="C134" i="12"/>
  <c r="B134" i="4" s="1"/>
  <c r="C135" i="12"/>
  <c r="B135" i="4" s="1"/>
  <c r="C136" i="12"/>
  <c r="B136" i="4" s="1"/>
  <c r="C137" i="12"/>
  <c r="B137" i="4" s="1"/>
  <c r="C138" i="12"/>
  <c r="C139" i="12"/>
  <c r="B139" i="4" s="1"/>
  <c r="C140" i="12"/>
  <c r="C141" i="12"/>
  <c r="B141" i="4" s="1"/>
  <c r="C142" i="12"/>
  <c r="B142" i="4" s="1"/>
  <c r="C143" i="12"/>
  <c r="B143" i="4" s="1"/>
  <c r="C144" i="12"/>
  <c r="B144" i="4" s="1"/>
  <c r="C145" i="12"/>
  <c r="C146" i="12"/>
  <c r="B146" i="4" s="1"/>
  <c r="C147" i="12"/>
  <c r="B147" i="4" s="1"/>
  <c r="C148" i="12"/>
  <c r="B148" i="4" s="1"/>
  <c r="C149" i="12"/>
  <c r="B149" i="4" s="1"/>
  <c r="C150" i="12"/>
  <c r="C151" i="12"/>
  <c r="B151" i="4" s="1"/>
  <c r="C152" i="12"/>
  <c r="C153" i="12"/>
  <c r="B153" i="4" s="1"/>
  <c r="C154" i="12"/>
  <c r="B154" i="4" s="1"/>
  <c r="C155" i="12"/>
  <c r="B155" i="4" s="1"/>
  <c r="C156" i="12"/>
  <c r="B156" i="4" s="1"/>
  <c r="C157" i="12"/>
  <c r="C158" i="12"/>
  <c r="B158" i="4" s="1"/>
  <c r="C159" i="12"/>
  <c r="B159" i="4" s="1"/>
  <c r="C160" i="12"/>
  <c r="B160" i="4" s="1"/>
  <c r="C161" i="12"/>
  <c r="B161" i="4" s="1"/>
  <c r="C162" i="12"/>
  <c r="C163" i="12"/>
  <c r="B163" i="4" s="1"/>
  <c r="C164" i="12"/>
  <c r="C165" i="12"/>
  <c r="B165" i="4" s="1"/>
  <c r="C166" i="12"/>
  <c r="B166" i="4" s="1"/>
  <c r="C167" i="12"/>
  <c r="B167" i="4" s="1"/>
  <c r="C168" i="12"/>
  <c r="B168" i="4" s="1"/>
  <c r="C169" i="12"/>
  <c r="C170" i="12"/>
  <c r="B170" i="4" s="1"/>
  <c r="C171" i="12"/>
  <c r="B171" i="4" s="1"/>
  <c r="C172" i="12"/>
  <c r="B172" i="4" s="1"/>
  <c r="C173" i="12"/>
  <c r="B173" i="4" s="1"/>
  <c r="C174" i="12"/>
  <c r="C175" i="12"/>
  <c r="B175" i="4" s="1"/>
  <c r="C176" i="12"/>
  <c r="C177" i="12"/>
  <c r="B177" i="4" s="1"/>
  <c r="C178" i="12"/>
  <c r="B178" i="4" s="1"/>
  <c r="C179" i="12"/>
  <c r="B179" i="4" s="1"/>
  <c r="C180" i="12"/>
  <c r="B180" i="4" s="1"/>
  <c r="C181" i="12"/>
  <c r="C182" i="12"/>
  <c r="B182" i="4" s="1"/>
  <c r="C183" i="12"/>
  <c r="B183" i="4" s="1"/>
  <c r="C184" i="12"/>
  <c r="B184" i="4" s="1"/>
  <c r="C185" i="12"/>
  <c r="B185" i="4" s="1"/>
  <c r="C186" i="12"/>
  <c r="C187" i="12"/>
  <c r="B187" i="4" s="1"/>
  <c r="C188" i="12"/>
  <c r="C189" i="12"/>
  <c r="B189" i="4" s="1"/>
  <c r="C190" i="12"/>
  <c r="B190" i="4" s="1"/>
  <c r="C191" i="12"/>
  <c r="B191" i="4" s="1"/>
  <c r="C192" i="12"/>
  <c r="B192" i="4" s="1"/>
  <c r="C193" i="12"/>
  <c r="C194" i="12"/>
  <c r="B194" i="4" s="1"/>
  <c r="C195" i="12"/>
  <c r="B195" i="4" s="1"/>
  <c r="C196" i="12"/>
  <c r="B196" i="4" s="1"/>
  <c r="C197" i="12"/>
  <c r="B197" i="4" s="1"/>
  <c r="C198" i="12"/>
  <c r="C199" i="12"/>
  <c r="B199" i="4" s="1"/>
  <c r="C200" i="12"/>
  <c r="C201" i="12"/>
  <c r="B201" i="4" s="1"/>
  <c r="C202" i="12"/>
  <c r="B202" i="4" s="1"/>
  <c r="C203" i="12"/>
  <c r="B203" i="4" s="1"/>
  <c r="C204" i="12"/>
  <c r="B204" i="4" s="1"/>
  <c r="C205" i="12"/>
  <c r="C206" i="12"/>
  <c r="B206" i="4" s="1"/>
  <c r="C207" i="12"/>
  <c r="B207" i="4" s="1"/>
  <c r="C208" i="12"/>
  <c r="B208" i="4" s="1"/>
  <c r="C209" i="12"/>
  <c r="B209" i="4" s="1"/>
  <c r="C210" i="12"/>
  <c r="C211" i="12"/>
  <c r="B211" i="4" s="1"/>
  <c r="C212" i="12"/>
  <c r="C213" i="12"/>
  <c r="B213" i="4" s="1"/>
  <c r="C214" i="12"/>
  <c r="B214" i="4" s="1"/>
  <c r="C215" i="12"/>
  <c r="B215" i="4" s="1"/>
  <c r="C216" i="12"/>
  <c r="B216" i="4" s="1"/>
  <c r="C217" i="12"/>
  <c r="C218" i="12"/>
  <c r="B218" i="4" s="1"/>
  <c r="C219" i="12"/>
  <c r="B219" i="4" s="1"/>
  <c r="C220" i="12"/>
  <c r="B220" i="4" s="1"/>
  <c r="C221" i="12"/>
  <c r="B221" i="4" s="1"/>
  <c r="C222" i="12"/>
  <c r="C223" i="12"/>
  <c r="B223" i="4" s="1"/>
  <c r="C224" i="12"/>
  <c r="C225" i="12"/>
  <c r="B225" i="4" s="1"/>
  <c r="C226" i="12"/>
  <c r="B226" i="4" s="1"/>
  <c r="C227" i="12"/>
  <c r="B227" i="4" s="1"/>
  <c r="C228" i="12"/>
  <c r="B228" i="4" s="1"/>
  <c r="C229" i="12"/>
  <c r="C230" i="12"/>
  <c r="B230" i="4" s="1"/>
  <c r="C231" i="12"/>
  <c r="B231" i="4" s="1"/>
  <c r="C232" i="12"/>
  <c r="B232" i="4" s="1"/>
  <c r="C233" i="12"/>
  <c r="B233" i="4" s="1"/>
  <c r="C234" i="12"/>
  <c r="C235" i="12"/>
  <c r="B235" i="4" s="1"/>
  <c r="C236" i="12"/>
  <c r="C237" i="12"/>
  <c r="B237" i="4" s="1"/>
  <c r="C238" i="12"/>
  <c r="B238" i="4" s="1"/>
  <c r="C239" i="12"/>
  <c r="B239" i="4" s="1"/>
  <c r="C240" i="12"/>
  <c r="B240" i="4" s="1"/>
  <c r="C241" i="12"/>
  <c r="C242" i="12"/>
  <c r="C243" i="12"/>
  <c r="C244" i="12"/>
  <c r="C2" i="12"/>
  <c r="B2" i="4" s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" i="4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203" i="4"/>
  <c r="G203" i="4"/>
  <c r="F204" i="4"/>
  <c r="G204" i="4"/>
  <c r="F205" i="4"/>
  <c r="G205" i="4"/>
  <c r="F206" i="4"/>
  <c r="G206" i="4"/>
  <c r="F207" i="4"/>
  <c r="G207" i="4"/>
  <c r="F208" i="4"/>
  <c r="G208" i="4"/>
  <c r="F209" i="4"/>
  <c r="G209" i="4"/>
  <c r="F210" i="4"/>
  <c r="G210" i="4"/>
  <c r="F211" i="4"/>
  <c r="G211" i="4"/>
  <c r="F212" i="4"/>
  <c r="G212" i="4"/>
  <c r="F213" i="4"/>
  <c r="G213" i="4"/>
  <c r="F214" i="4"/>
  <c r="G214" i="4"/>
  <c r="F215" i="4"/>
  <c r="G215" i="4"/>
  <c r="F216" i="4"/>
  <c r="G216" i="4"/>
  <c r="F217" i="4"/>
  <c r="G217" i="4"/>
  <c r="F218" i="4"/>
  <c r="G218" i="4"/>
  <c r="F219" i="4"/>
  <c r="G219" i="4"/>
  <c r="F220" i="4"/>
  <c r="G220" i="4"/>
  <c r="F221" i="4"/>
  <c r="G221" i="4"/>
  <c r="F222" i="4"/>
  <c r="G222" i="4"/>
  <c r="F223" i="4"/>
  <c r="G223" i="4"/>
  <c r="F224" i="4"/>
  <c r="G224" i="4"/>
  <c r="F225" i="4"/>
  <c r="G225" i="4"/>
  <c r="F226" i="4"/>
  <c r="G226" i="4"/>
  <c r="F227" i="4"/>
  <c r="G227" i="4"/>
  <c r="F228" i="4"/>
  <c r="G228" i="4"/>
  <c r="F229" i="4"/>
  <c r="G229" i="4"/>
  <c r="F230" i="4"/>
  <c r="G230" i="4"/>
  <c r="F231" i="4"/>
  <c r="G231" i="4"/>
  <c r="F232" i="4"/>
  <c r="G232" i="4"/>
  <c r="F233" i="4"/>
  <c r="G233" i="4"/>
  <c r="F234" i="4"/>
  <c r="G234" i="4"/>
  <c r="F235" i="4"/>
  <c r="G235" i="4"/>
  <c r="F236" i="4"/>
  <c r="G236" i="4"/>
  <c r="F237" i="4"/>
  <c r="G237" i="4"/>
  <c r="F238" i="4"/>
  <c r="G238" i="4"/>
  <c r="F239" i="4"/>
  <c r="G239" i="4"/>
  <c r="F240" i="4"/>
  <c r="G240" i="4"/>
  <c r="F241" i="4"/>
  <c r="G241" i="4"/>
  <c r="G2" i="4"/>
  <c r="F2" i="4"/>
  <c r="D3" i="7"/>
  <c r="E3" i="7"/>
  <c r="D4" i="7"/>
  <c r="E4" i="7"/>
  <c r="D5" i="7"/>
  <c r="E5" i="7"/>
  <c r="D6" i="7"/>
  <c r="E6" i="7"/>
  <c r="D7" i="7"/>
  <c r="E7" i="7"/>
  <c r="D8" i="7"/>
  <c r="E8" i="7"/>
  <c r="D9" i="7"/>
  <c r="E9" i="7"/>
  <c r="D10" i="7"/>
  <c r="E10" i="7"/>
  <c r="D11" i="7"/>
  <c r="E11" i="7"/>
  <c r="D12" i="7"/>
  <c r="E12" i="7"/>
  <c r="D13" i="7"/>
  <c r="E13" i="7"/>
  <c r="D14" i="7"/>
  <c r="E14" i="7"/>
  <c r="D15" i="7"/>
  <c r="E15" i="7"/>
  <c r="D16" i="7"/>
  <c r="E16" i="7"/>
  <c r="D17" i="7"/>
  <c r="E17" i="7"/>
  <c r="D18" i="7"/>
  <c r="E18" i="7"/>
  <c r="D19" i="7"/>
  <c r="E19" i="7"/>
  <c r="D20" i="7"/>
  <c r="E20" i="7"/>
  <c r="D21" i="7"/>
  <c r="E21" i="7"/>
  <c r="D22" i="7"/>
  <c r="E22" i="7"/>
  <c r="D23" i="7"/>
  <c r="E23" i="7"/>
  <c r="D24" i="7"/>
  <c r="E24" i="7"/>
  <c r="D25" i="7"/>
  <c r="E25" i="7"/>
  <c r="D26" i="7"/>
  <c r="E26" i="7"/>
  <c r="D27" i="7"/>
  <c r="E27" i="7"/>
  <c r="D28" i="7"/>
  <c r="E28" i="7"/>
  <c r="D29" i="7"/>
  <c r="E29" i="7"/>
  <c r="D30" i="7"/>
  <c r="E30" i="7"/>
  <c r="D31" i="7"/>
  <c r="E31" i="7"/>
  <c r="D32" i="7"/>
  <c r="E32" i="7"/>
  <c r="D33" i="7"/>
  <c r="E33" i="7"/>
  <c r="D34" i="7"/>
  <c r="E34" i="7"/>
  <c r="D35" i="7"/>
  <c r="E35" i="7"/>
  <c r="D36" i="7"/>
  <c r="E36" i="7"/>
  <c r="D37" i="7"/>
  <c r="E37" i="7"/>
  <c r="D38" i="7"/>
  <c r="E38" i="7"/>
  <c r="D39" i="7"/>
  <c r="E39" i="7"/>
  <c r="D40" i="7"/>
  <c r="E40" i="7"/>
  <c r="D41" i="7"/>
  <c r="E41" i="7"/>
  <c r="D42" i="7"/>
  <c r="E42" i="7"/>
  <c r="D43" i="7"/>
  <c r="E43" i="7"/>
  <c r="D44" i="7"/>
  <c r="E44" i="7"/>
  <c r="D45" i="7"/>
  <c r="E45" i="7"/>
  <c r="D46" i="7"/>
  <c r="E46" i="7"/>
  <c r="D47" i="7"/>
  <c r="E47" i="7"/>
  <c r="D48" i="7"/>
  <c r="E48" i="7"/>
  <c r="D49" i="7"/>
  <c r="E49" i="7"/>
  <c r="D50" i="7"/>
  <c r="E50" i="7"/>
  <c r="D51" i="7"/>
  <c r="E51" i="7"/>
  <c r="D52" i="7"/>
  <c r="E52" i="7"/>
  <c r="D53" i="7"/>
  <c r="E53" i="7"/>
  <c r="D54" i="7"/>
  <c r="E54" i="7"/>
  <c r="D55" i="7"/>
  <c r="E55" i="7"/>
  <c r="D56" i="7"/>
  <c r="E56" i="7"/>
  <c r="D57" i="7"/>
  <c r="E57" i="7"/>
  <c r="D58" i="7"/>
  <c r="E58" i="7"/>
  <c r="D59" i="7"/>
  <c r="E59" i="7"/>
  <c r="D60" i="7"/>
  <c r="E60" i="7"/>
  <c r="D61" i="7"/>
  <c r="E61" i="7"/>
  <c r="D62" i="7"/>
  <c r="E62" i="7"/>
  <c r="D63" i="7"/>
  <c r="E63" i="7"/>
  <c r="D64" i="7"/>
  <c r="E64" i="7"/>
  <c r="D65" i="7"/>
  <c r="E65" i="7"/>
  <c r="D66" i="7"/>
  <c r="E66" i="7"/>
  <c r="D67" i="7"/>
  <c r="E67" i="7"/>
  <c r="D68" i="7"/>
  <c r="E68" i="7"/>
  <c r="D69" i="7"/>
  <c r="E69" i="7"/>
  <c r="D70" i="7"/>
  <c r="E70" i="7"/>
  <c r="D71" i="7"/>
  <c r="E71" i="7"/>
  <c r="D72" i="7"/>
  <c r="E72" i="7"/>
  <c r="D73" i="7"/>
  <c r="E73" i="7"/>
  <c r="D74" i="7"/>
  <c r="E74" i="7"/>
  <c r="D75" i="7"/>
  <c r="E75" i="7"/>
  <c r="D76" i="7"/>
  <c r="E76" i="7"/>
  <c r="D77" i="7"/>
  <c r="E77" i="7"/>
  <c r="D78" i="7"/>
  <c r="E78" i="7"/>
  <c r="D79" i="7"/>
  <c r="E79" i="7"/>
  <c r="D80" i="7"/>
  <c r="E80" i="7"/>
  <c r="D81" i="7"/>
  <c r="E81" i="7"/>
  <c r="D82" i="7"/>
  <c r="E82" i="7"/>
  <c r="D83" i="7"/>
  <c r="E83" i="7"/>
  <c r="D84" i="7"/>
  <c r="E84" i="7"/>
  <c r="D85" i="7"/>
  <c r="E85" i="7"/>
  <c r="D86" i="7"/>
  <c r="E86" i="7"/>
  <c r="D87" i="7"/>
  <c r="E87" i="7"/>
  <c r="D88" i="7"/>
  <c r="E88" i="7"/>
  <c r="D89" i="7"/>
  <c r="E89" i="7"/>
  <c r="D90" i="7"/>
  <c r="E90" i="7"/>
  <c r="D91" i="7"/>
  <c r="E91" i="7"/>
  <c r="D92" i="7"/>
  <c r="E92" i="7"/>
  <c r="D93" i="7"/>
  <c r="E93" i="7"/>
  <c r="D94" i="7"/>
  <c r="E94" i="7"/>
  <c r="D95" i="7"/>
  <c r="E95" i="7"/>
  <c r="D96" i="7"/>
  <c r="E96" i="7"/>
  <c r="D97" i="7"/>
  <c r="E97" i="7"/>
  <c r="D98" i="7"/>
  <c r="E98" i="7"/>
  <c r="D99" i="7"/>
  <c r="E99" i="7"/>
  <c r="D100" i="7"/>
  <c r="E100" i="7"/>
  <c r="D101" i="7"/>
  <c r="E101" i="7"/>
  <c r="D102" i="7"/>
  <c r="E102" i="7"/>
  <c r="D103" i="7"/>
  <c r="E103" i="7"/>
  <c r="D104" i="7"/>
  <c r="E104" i="7"/>
  <c r="D105" i="7"/>
  <c r="E105" i="7"/>
  <c r="D106" i="7"/>
  <c r="E106" i="7"/>
  <c r="D107" i="7"/>
  <c r="E107" i="7"/>
  <c r="D108" i="7"/>
  <c r="E108" i="7"/>
  <c r="D109" i="7"/>
  <c r="E109" i="7"/>
  <c r="D110" i="7"/>
  <c r="E110" i="7"/>
  <c r="D111" i="7"/>
  <c r="E111" i="7"/>
  <c r="D112" i="7"/>
  <c r="E112" i="7"/>
  <c r="D113" i="7"/>
  <c r="E113" i="7"/>
  <c r="D114" i="7"/>
  <c r="E114" i="7"/>
  <c r="D115" i="7"/>
  <c r="E115" i="7"/>
  <c r="D116" i="7"/>
  <c r="E116" i="7"/>
  <c r="D117" i="7"/>
  <c r="E117" i="7"/>
  <c r="D118" i="7"/>
  <c r="E118" i="7"/>
  <c r="D119" i="7"/>
  <c r="E119" i="7"/>
  <c r="D120" i="7"/>
  <c r="E120" i="7"/>
  <c r="D121" i="7"/>
  <c r="E121" i="7"/>
  <c r="D122" i="7"/>
  <c r="E122" i="7"/>
  <c r="D123" i="7"/>
  <c r="E123" i="7"/>
  <c r="D124" i="7"/>
  <c r="E124" i="7"/>
  <c r="D125" i="7"/>
  <c r="E125" i="7"/>
  <c r="D126" i="7"/>
  <c r="E126" i="7"/>
  <c r="D127" i="7"/>
  <c r="E127" i="7"/>
  <c r="D128" i="7"/>
  <c r="E128" i="7"/>
  <c r="D129" i="7"/>
  <c r="E129" i="7"/>
  <c r="D130" i="7"/>
  <c r="E130" i="7"/>
  <c r="D131" i="7"/>
  <c r="E131" i="7"/>
  <c r="D132" i="7"/>
  <c r="E132" i="7"/>
  <c r="D133" i="7"/>
  <c r="E133" i="7"/>
  <c r="D134" i="7"/>
  <c r="E134" i="7"/>
  <c r="D135" i="7"/>
  <c r="E135" i="7"/>
  <c r="D136" i="7"/>
  <c r="E136" i="7"/>
  <c r="D137" i="7"/>
  <c r="E137" i="7"/>
  <c r="D138" i="7"/>
  <c r="E138" i="7"/>
  <c r="D139" i="7"/>
  <c r="E139" i="7"/>
  <c r="D140" i="7"/>
  <c r="E140" i="7"/>
  <c r="D141" i="7"/>
  <c r="E141" i="7"/>
  <c r="D142" i="7"/>
  <c r="E142" i="7"/>
  <c r="D143" i="7"/>
  <c r="E143" i="7"/>
  <c r="D144" i="7"/>
  <c r="E144" i="7"/>
  <c r="D145" i="7"/>
  <c r="E145" i="7"/>
  <c r="D146" i="7"/>
  <c r="E146" i="7"/>
  <c r="D147" i="7"/>
  <c r="E147" i="7"/>
  <c r="D148" i="7"/>
  <c r="E148" i="7"/>
  <c r="D149" i="7"/>
  <c r="E149" i="7"/>
  <c r="D150" i="7"/>
  <c r="E150" i="7"/>
  <c r="D151" i="7"/>
  <c r="E151" i="7"/>
  <c r="D152" i="7"/>
  <c r="E152" i="7"/>
  <c r="D153" i="7"/>
  <c r="E153" i="7"/>
  <c r="D154" i="7"/>
  <c r="E154" i="7"/>
  <c r="D155" i="7"/>
  <c r="E155" i="7"/>
  <c r="D156" i="7"/>
  <c r="E156" i="7"/>
  <c r="D157" i="7"/>
  <c r="E157" i="7"/>
  <c r="D158" i="7"/>
  <c r="E158" i="7"/>
  <c r="D159" i="7"/>
  <c r="E159" i="7"/>
  <c r="D160" i="7"/>
  <c r="E160" i="7"/>
  <c r="D161" i="7"/>
  <c r="E161" i="7"/>
  <c r="D162" i="7"/>
  <c r="E162" i="7"/>
  <c r="D163" i="7"/>
  <c r="E163" i="7"/>
  <c r="D164" i="7"/>
  <c r="E164" i="7"/>
  <c r="D165" i="7"/>
  <c r="E165" i="7"/>
  <c r="D166" i="7"/>
  <c r="E166" i="7"/>
  <c r="D167" i="7"/>
  <c r="E167" i="7"/>
  <c r="D168" i="7"/>
  <c r="E168" i="7"/>
  <c r="D169" i="7"/>
  <c r="E169" i="7"/>
  <c r="D170" i="7"/>
  <c r="E170" i="7"/>
  <c r="D171" i="7"/>
  <c r="E171" i="7"/>
  <c r="D172" i="7"/>
  <c r="E172" i="7"/>
  <c r="D173" i="7"/>
  <c r="E173" i="7"/>
  <c r="D174" i="7"/>
  <c r="E174" i="7"/>
  <c r="D175" i="7"/>
  <c r="E175" i="7"/>
  <c r="D176" i="7"/>
  <c r="E176" i="7"/>
  <c r="D177" i="7"/>
  <c r="E177" i="7"/>
  <c r="D178" i="7"/>
  <c r="E178" i="7"/>
  <c r="D179" i="7"/>
  <c r="E179" i="7"/>
  <c r="D180" i="7"/>
  <c r="E180" i="7"/>
  <c r="D181" i="7"/>
  <c r="E181" i="7"/>
  <c r="D182" i="7"/>
  <c r="E182" i="7"/>
  <c r="D183" i="7"/>
  <c r="E183" i="7"/>
  <c r="D184" i="7"/>
  <c r="E184" i="7"/>
  <c r="D185" i="7"/>
  <c r="E185" i="7"/>
  <c r="D186" i="7"/>
  <c r="E186" i="7"/>
  <c r="D187" i="7"/>
  <c r="E187" i="7"/>
  <c r="D188" i="7"/>
  <c r="E188" i="7"/>
  <c r="D189" i="7"/>
  <c r="E189" i="7"/>
  <c r="D190" i="7"/>
  <c r="E190" i="7"/>
  <c r="D191" i="7"/>
  <c r="E191" i="7"/>
  <c r="D192" i="7"/>
  <c r="E192" i="7"/>
  <c r="D193" i="7"/>
  <c r="E193" i="7"/>
  <c r="D194" i="7"/>
  <c r="E194" i="7"/>
  <c r="D195" i="7"/>
  <c r="E195" i="7"/>
  <c r="D196" i="7"/>
  <c r="E196" i="7"/>
  <c r="D197" i="7"/>
  <c r="E197" i="7"/>
  <c r="D198" i="7"/>
  <c r="E198" i="7"/>
  <c r="D199" i="7"/>
  <c r="E199" i="7"/>
  <c r="D200" i="7"/>
  <c r="E200" i="7"/>
  <c r="D201" i="7"/>
  <c r="E201" i="7"/>
  <c r="D202" i="7"/>
  <c r="E202" i="7"/>
  <c r="D203" i="7"/>
  <c r="E203" i="7"/>
  <c r="D204" i="7"/>
  <c r="E204" i="7"/>
  <c r="D205" i="7"/>
  <c r="E205" i="7"/>
  <c r="D206" i="7"/>
  <c r="E206" i="7"/>
  <c r="D207" i="7"/>
  <c r="E207" i="7"/>
  <c r="D208" i="7"/>
  <c r="E208" i="7"/>
  <c r="D209" i="7"/>
  <c r="E209" i="7"/>
  <c r="D210" i="7"/>
  <c r="E210" i="7"/>
  <c r="D211" i="7"/>
  <c r="E211" i="7"/>
  <c r="D212" i="7"/>
  <c r="E212" i="7"/>
  <c r="D213" i="7"/>
  <c r="E213" i="7"/>
  <c r="D214" i="7"/>
  <c r="E214" i="7"/>
  <c r="D215" i="7"/>
  <c r="E215" i="7"/>
  <c r="D216" i="7"/>
  <c r="E216" i="7"/>
  <c r="D217" i="7"/>
  <c r="E217" i="7"/>
  <c r="D218" i="7"/>
  <c r="E218" i="7"/>
  <c r="D219" i="7"/>
  <c r="E219" i="7"/>
  <c r="D220" i="7"/>
  <c r="E220" i="7"/>
  <c r="D221" i="7"/>
  <c r="E221" i="7"/>
  <c r="D222" i="7"/>
  <c r="E222" i="7"/>
  <c r="D223" i="7"/>
  <c r="E223" i="7"/>
  <c r="D224" i="7"/>
  <c r="E224" i="7"/>
  <c r="D225" i="7"/>
  <c r="E225" i="7"/>
  <c r="D226" i="7"/>
  <c r="E226" i="7"/>
  <c r="D227" i="7"/>
  <c r="E227" i="7"/>
  <c r="D228" i="7"/>
  <c r="E228" i="7"/>
  <c r="D229" i="7"/>
  <c r="E229" i="7"/>
  <c r="D230" i="7"/>
  <c r="E230" i="7"/>
  <c r="D231" i="7"/>
  <c r="E231" i="7"/>
  <c r="D232" i="7"/>
  <c r="E232" i="7"/>
  <c r="D233" i="7"/>
  <c r="E233" i="7"/>
  <c r="D234" i="7"/>
  <c r="E234" i="7"/>
  <c r="D235" i="7"/>
  <c r="E235" i="7"/>
  <c r="D236" i="7"/>
  <c r="E236" i="7"/>
  <c r="D237" i="7"/>
  <c r="E237" i="7"/>
  <c r="D238" i="7"/>
  <c r="E238" i="7"/>
  <c r="D239" i="7"/>
  <c r="E239" i="7"/>
  <c r="D240" i="7"/>
  <c r="E240" i="7"/>
  <c r="D241" i="7"/>
  <c r="E241" i="7"/>
  <c r="D242" i="7"/>
  <c r="E242" i="7"/>
  <c r="D243" i="7"/>
  <c r="E243" i="7"/>
  <c r="D244" i="7"/>
  <c r="E244" i="7"/>
  <c r="D245" i="7"/>
  <c r="E245" i="7"/>
  <c r="D246" i="7"/>
  <c r="E246" i="7"/>
  <c r="D247" i="7"/>
  <c r="E247" i="7"/>
  <c r="D248" i="7"/>
  <c r="E248" i="7"/>
  <c r="D249" i="7"/>
  <c r="E249" i="7"/>
  <c r="D250" i="7"/>
  <c r="E250" i="7"/>
  <c r="D251" i="7"/>
  <c r="E251" i="7"/>
  <c r="D252" i="7"/>
  <c r="E252" i="7"/>
  <c r="D253" i="7"/>
  <c r="E253" i="7"/>
  <c r="D254" i="7"/>
  <c r="E254" i="7"/>
  <c r="D255" i="7"/>
  <c r="E255" i="7"/>
  <c r="D256" i="7"/>
  <c r="E256" i="7"/>
  <c r="D257" i="7"/>
  <c r="E257" i="7"/>
  <c r="D258" i="7"/>
  <c r="E258" i="7"/>
  <c r="D259" i="7"/>
  <c r="E259" i="7"/>
  <c r="D260" i="7"/>
  <c r="E260" i="7"/>
  <c r="D261" i="7"/>
  <c r="E261" i="7"/>
  <c r="D262" i="7"/>
  <c r="E262" i="7"/>
  <c r="D263" i="7"/>
  <c r="E263" i="7"/>
  <c r="D264" i="7"/>
  <c r="E264" i="7"/>
  <c r="D265" i="7"/>
  <c r="E265" i="7"/>
  <c r="D266" i="7"/>
  <c r="E266" i="7"/>
  <c r="D267" i="7"/>
  <c r="E267" i="7"/>
  <c r="D268" i="7"/>
  <c r="E268" i="7"/>
  <c r="D269" i="7"/>
  <c r="E269" i="7"/>
  <c r="D270" i="7"/>
  <c r="E270" i="7"/>
  <c r="D271" i="7"/>
  <c r="E271" i="7"/>
  <c r="D272" i="7"/>
  <c r="E272" i="7"/>
  <c r="D273" i="7"/>
  <c r="E273" i="7"/>
  <c r="D274" i="7"/>
  <c r="E274" i="7"/>
  <c r="D275" i="7"/>
  <c r="E275" i="7"/>
  <c r="D276" i="7"/>
  <c r="E276" i="7"/>
  <c r="D277" i="7"/>
  <c r="E277" i="7"/>
  <c r="D278" i="7"/>
  <c r="E278" i="7"/>
  <c r="D279" i="7"/>
  <c r="E279" i="7"/>
  <c r="D280" i="7"/>
  <c r="E280" i="7"/>
  <c r="D281" i="7"/>
  <c r="E281" i="7"/>
  <c r="D282" i="7"/>
  <c r="E282" i="7"/>
  <c r="D283" i="7"/>
  <c r="E283" i="7"/>
  <c r="D284" i="7"/>
  <c r="E284" i="7"/>
  <c r="D285" i="7"/>
  <c r="E285" i="7"/>
  <c r="D286" i="7"/>
  <c r="E286" i="7"/>
  <c r="D287" i="7"/>
  <c r="E287" i="7"/>
  <c r="D288" i="7"/>
  <c r="E288" i="7"/>
  <c r="D289" i="7"/>
  <c r="E289" i="7"/>
  <c r="D290" i="7"/>
  <c r="E290" i="7"/>
  <c r="D291" i="7"/>
  <c r="E291" i="7"/>
  <c r="D292" i="7"/>
  <c r="E292" i="7"/>
  <c r="D293" i="7"/>
  <c r="E293" i="7"/>
  <c r="D294" i="7"/>
  <c r="E294" i="7"/>
  <c r="D295" i="7"/>
  <c r="E295" i="7"/>
  <c r="D296" i="7"/>
  <c r="E296" i="7"/>
  <c r="D297" i="7"/>
  <c r="E297" i="7"/>
  <c r="D298" i="7"/>
  <c r="E298" i="7"/>
  <c r="D299" i="7"/>
  <c r="E299" i="7"/>
  <c r="D300" i="7"/>
  <c r="E300" i="7"/>
  <c r="D301" i="7"/>
  <c r="E301" i="7"/>
  <c r="D302" i="7"/>
  <c r="E302" i="7"/>
  <c r="D303" i="7"/>
  <c r="E303" i="7"/>
  <c r="E2" i="7"/>
  <c r="D2" i="7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" i="11"/>
  <c r="C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4182B8-A6F9-4894-BCA8-7CBD77559740}" keepAlive="1" name="Query - convertcsv" description="Connection to the 'convertcsv' query in the workbook." type="5" refreshedVersion="8" background="1" saveData="1">
    <dbPr connection="Provider=Microsoft.Mashup.OleDb.1;Data Source=$Workbook$;Location=convertcsv;Extended Properties=&quot;&quot;" command="SELECT * FROM [convertcsv]"/>
  </connection>
  <connection id="2" xr16:uid="{A16CFF0E-388A-43E7-8A6D-59E7689BE15D}" keepAlive="1" name="Query - inrtpl_m_m" description="Connection to the 'inrtpl_m_m' query in the workbook." type="5" refreshedVersion="8" background="1" saveData="1">
    <dbPr connection="Provider=Microsoft.Mashup.OleDb.1;Data Source=$Workbook$;Location=inrtpl_m_m;Extended Properties=&quot;&quot;" command="SELECT * FROM [inrtpl_m_m]"/>
  </connection>
  <connection id="3" xr16:uid="{D1CD147F-E8D6-4E07-9C15-7B934EE3F629}" keepAlive="1" name="Query - usdpln_m" description="Connection to the 'usdpln_m' query in the workbook." type="5" refreshedVersion="8" background="1" saveData="1">
    <dbPr connection="Provider=Microsoft.Mashup.OleDb.1;Data Source=$Workbook$;Location=usdpln_m;Extended Properties=&quot;&quot;" command="SELECT * FROM [usdpln_m]"/>
  </connection>
</connections>
</file>

<file path=xl/sharedStrings.xml><?xml version="1.0" encoding="utf-8"?>
<sst xmlns="http://schemas.openxmlformats.org/spreadsheetml/2006/main" count="1153" uniqueCount="826">
  <si>
    <t>Data</t>
  </si>
  <si>
    <t>Zamkniecie</t>
  </si>
  <si>
    <t>3</t>
  </si>
  <si>
    <t>24</t>
  </si>
  <si>
    <t>23</t>
  </si>
  <si>
    <t>19</t>
  </si>
  <si>
    <t>18</t>
  </si>
  <si>
    <t>17</t>
  </si>
  <si>
    <t>13</t>
  </si>
  <si>
    <t>14</t>
  </si>
  <si>
    <t>10</t>
  </si>
  <si>
    <t>9</t>
  </si>
  <si>
    <t>8</t>
  </si>
  <si>
    <t>7</t>
  </si>
  <si>
    <t>6</t>
  </si>
  <si>
    <t>5</t>
  </si>
  <si>
    <t>4</t>
  </si>
  <si>
    <t>2</t>
  </si>
  <si>
    <t>1</t>
  </si>
  <si>
    <t>Import</t>
  </si>
  <si>
    <t>Export</t>
  </si>
  <si>
    <t>14 440,8</t>
  </si>
  <si>
    <t>16 351,6</t>
  </si>
  <si>
    <t>17 884,3</t>
  </si>
  <si>
    <t>16 446,1</t>
  </si>
  <si>
    <t>19 171,6</t>
  </si>
  <si>
    <t>17 958,6</t>
  </si>
  <si>
    <t>17 786,4</t>
  </si>
  <si>
    <t>16 692,8</t>
  </si>
  <si>
    <t>18 052,1</t>
  </si>
  <si>
    <t>20 579,6</t>
  </si>
  <si>
    <t>19 130,9</t>
  </si>
  <si>
    <t>18 577,0</t>
  </si>
  <si>
    <t>16 538,0</t>
  </si>
  <si>
    <t>15 843,6</t>
  </si>
  <si>
    <t>18 392,0</t>
  </si>
  <si>
    <t>16 675,4</t>
  </si>
  <si>
    <t>16 827,9</t>
  </si>
  <si>
    <t>16 170,8</t>
  </si>
  <si>
    <t>17 383,9</t>
  </si>
  <si>
    <t>16 878,3</t>
  </si>
  <si>
    <t>17 801,6</t>
  </si>
  <si>
    <t>19 984,9</t>
  </si>
  <si>
    <t>17 776,0</t>
  </si>
  <si>
    <t>15 980,4</t>
  </si>
  <si>
    <t>14 823,2</t>
  </si>
  <si>
    <t>16 241,3</t>
  </si>
  <si>
    <t>17 929,4</t>
  </si>
  <si>
    <t>19 231,2</t>
  </si>
  <si>
    <t>17 565,2</t>
  </si>
  <si>
    <t>18 453,6</t>
  </si>
  <si>
    <t>20 387,6</t>
  </si>
  <si>
    <t>17 997,8</t>
  </si>
  <si>
    <t>20 205,1</t>
  </si>
  <si>
    <t>22 304,7</t>
  </si>
  <si>
    <t>20 389,1</t>
  </si>
  <si>
    <t>19 287,6</t>
  </si>
  <si>
    <t>17 924,3</t>
  </si>
  <si>
    <t>18 644,4</t>
  </si>
  <si>
    <t>21 774,3</t>
  </si>
  <si>
    <t>21 562,3</t>
  </si>
  <si>
    <t>21 163,4</t>
  </si>
  <si>
    <t>20 456,7</t>
  </si>
  <si>
    <t>23 832,9</t>
  </si>
  <si>
    <t>24 857,5</t>
  </si>
  <si>
    <t>26 061,2</t>
  </si>
  <si>
    <t>24 166,5</t>
  </si>
  <si>
    <t>24 705,1</t>
  </si>
  <si>
    <t>21 723,1</t>
  </si>
  <si>
    <t>22 557,6</t>
  </si>
  <si>
    <t>29 929,7</t>
  </si>
  <si>
    <t>33 166,9</t>
  </si>
  <si>
    <t>27 217,4</t>
  </si>
  <si>
    <t>28 150,5</t>
  </si>
  <si>
    <t>26 751,2</t>
  </si>
  <si>
    <t>24 990,5</t>
  </si>
  <si>
    <t>29 481,4</t>
  </si>
  <si>
    <t>28 315,3</t>
  </si>
  <si>
    <t>27 767,7</t>
  </si>
  <si>
    <t>25 545,0</t>
  </si>
  <si>
    <t>23 019,5</t>
  </si>
  <si>
    <t>23 886,8</t>
  </si>
  <si>
    <t>26 862,2</t>
  </si>
  <si>
    <t>27 559,9</t>
  </si>
  <si>
    <t>27 147,2</t>
  </si>
  <si>
    <t>27 954,5</t>
  </si>
  <si>
    <t>26 490,4</t>
  </si>
  <si>
    <t>26 427,8</t>
  </si>
  <si>
    <t>29 625,0</t>
  </si>
  <si>
    <t>29 936,1</t>
  </si>
  <si>
    <t>31 081,3</t>
  </si>
  <si>
    <t>28 201,3</t>
  </si>
  <si>
    <t>27 428,1</t>
  </si>
  <si>
    <t>28 094,0</t>
  </si>
  <si>
    <t>33 006,6</t>
  </si>
  <si>
    <t>29 459,6</t>
  </si>
  <si>
    <t>33 826,8</t>
  </si>
  <si>
    <t>33 354,7</t>
  </si>
  <si>
    <t>32 932,9</t>
  </si>
  <si>
    <t>31 746,5</t>
  </si>
  <si>
    <t>35 988,1</t>
  </si>
  <si>
    <t>38 329,2</t>
  </si>
  <si>
    <t>36 266,7</t>
  </si>
  <si>
    <t>33 596,8</t>
  </si>
  <si>
    <t>34 425,0</t>
  </si>
  <si>
    <t>33 553,3</t>
  </si>
  <si>
    <t>40 308,0</t>
  </si>
  <si>
    <t>36 233,8</t>
  </si>
  <si>
    <t>37 771,0</t>
  </si>
  <si>
    <t>38 482,2</t>
  </si>
  <si>
    <t>38 662,5</t>
  </si>
  <si>
    <t>35 653,3</t>
  </si>
  <si>
    <t>39 623,0</t>
  </si>
  <si>
    <t>43 880,5</t>
  </si>
  <si>
    <t>41 968,5</t>
  </si>
  <si>
    <t>36 267,3</t>
  </si>
  <si>
    <t>39 582,7</t>
  </si>
  <si>
    <t>41 617,2</t>
  </si>
  <si>
    <t>42 400,6</t>
  </si>
  <si>
    <t>44 536,9</t>
  </si>
  <si>
    <t>40 068,9</t>
  </si>
  <si>
    <t>42 622,0</t>
  </si>
  <si>
    <t>41 840,8</t>
  </si>
  <si>
    <t>37 164,9</t>
  </si>
  <si>
    <t>44 140,4</t>
  </si>
  <si>
    <t>45 413,1</t>
  </si>
  <si>
    <t>40 475,2</t>
  </si>
  <si>
    <t>37 165,6</t>
  </si>
  <si>
    <t>34 497,6</t>
  </si>
  <si>
    <t>37 061,9</t>
  </si>
  <si>
    <t>42 350,0</t>
  </si>
  <si>
    <t>37 746,5</t>
  </si>
  <si>
    <t>36 435,5</t>
  </si>
  <si>
    <t>40 149,3</t>
  </si>
  <si>
    <t>39 360,7</t>
  </si>
  <si>
    <t>34 896,4</t>
  </si>
  <si>
    <t>40 494,8</t>
  </si>
  <si>
    <t>42 955,7</t>
  </si>
  <si>
    <t>40 790,8</t>
  </si>
  <si>
    <t>36 643,4</t>
  </si>
  <si>
    <t>36 572,4</t>
  </si>
  <si>
    <t>39 626,3</t>
  </si>
  <si>
    <t>45 147,3</t>
  </si>
  <si>
    <t>41 568,7</t>
  </si>
  <si>
    <t>44 284,2</t>
  </si>
  <si>
    <t>46 905,5</t>
  </si>
  <si>
    <t>45 435,3</t>
  </si>
  <si>
    <t>44 136,5</t>
  </si>
  <si>
    <t>48 287,7</t>
  </si>
  <si>
    <t>48 787,4</t>
  </si>
  <si>
    <t>49 527,1</t>
  </si>
  <si>
    <t>45 942,2</t>
  </si>
  <si>
    <t>44 300,5</t>
  </si>
  <si>
    <t>47 210,9</t>
  </si>
  <si>
    <t>52 935,3</t>
  </si>
  <si>
    <t>50 553,5</t>
  </si>
  <si>
    <t>52 021,9</t>
  </si>
  <si>
    <t>51 666,4</t>
  </si>
  <si>
    <t>48 956,6</t>
  </si>
  <si>
    <t>51 626,1</t>
  </si>
  <si>
    <t>56 269,0</t>
  </si>
  <si>
    <t>56 928,9</t>
  </si>
  <si>
    <t>57 444,7</t>
  </si>
  <si>
    <t>53 458,9</t>
  </si>
  <si>
    <t>53 761,2</t>
  </si>
  <si>
    <t>53 733,0</t>
  </si>
  <si>
    <t>56 073,5</t>
  </si>
  <si>
    <t>52 420,9</t>
  </si>
  <si>
    <t>56 373,6</t>
  </si>
  <si>
    <t>54 050,7</t>
  </si>
  <si>
    <t>53 524,0</t>
  </si>
  <si>
    <t>50 452,5</t>
  </si>
  <si>
    <t>53 337,0</t>
  </si>
  <si>
    <t>58 855,8</t>
  </si>
  <si>
    <t>57 160,1</t>
  </si>
  <si>
    <t>48 385,3</t>
  </si>
  <si>
    <t>51 777,2</t>
  </si>
  <si>
    <t>50 757,1</t>
  </si>
  <si>
    <t>56 339,0</t>
  </si>
  <si>
    <t>53 298,0</t>
  </si>
  <si>
    <t>52 109,8</t>
  </si>
  <si>
    <t>53 463,5</t>
  </si>
  <si>
    <t>56 547,3</t>
  </si>
  <si>
    <t>52 500,3</t>
  </si>
  <si>
    <t>57 405,5</t>
  </si>
  <si>
    <t>62 871,1</t>
  </si>
  <si>
    <t>58 468,3</t>
  </si>
  <si>
    <t>50 561,1</t>
  </si>
  <si>
    <t>56 454,5</t>
  </si>
  <si>
    <t>55 023,8</t>
  </si>
  <si>
    <t>59 925,7</t>
  </si>
  <si>
    <t>58 365,2</t>
  </si>
  <si>
    <t>59 027,7</t>
  </si>
  <si>
    <t>57 100,5</t>
  </si>
  <si>
    <t>59 524,5</t>
  </si>
  <si>
    <t>52 454,2</t>
  </si>
  <si>
    <t>61 593,1</t>
  </si>
  <si>
    <t>66 345,8</t>
  </si>
  <si>
    <t>62 043,8</t>
  </si>
  <si>
    <t>56 708,7</t>
  </si>
  <si>
    <t>57 030,8</t>
  </si>
  <si>
    <t>57 402,1</t>
  </si>
  <si>
    <t>64 269,2</t>
  </si>
  <si>
    <t>61 125,9</t>
  </si>
  <si>
    <t>57 414,1</t>
  </si>
  <si>
    <t>62 907,7</t>
  </si>
  <si>
    <t>63 813,0</t>
  </si>
  <si>
    <t>56 835,9</t>
  </si>
  <si>
    <t>66 435,3</t>
  </si>
  <si>
    <t>67 425,7</t>
  </si>
  <si>
    <t>66 370,0</t>
  </si>
  <si>
    <t>59 943,6</t>
  </si>
  <si>
    <t>58 015,1</t>
  </si>
  <si>
    <t>64 223,6</t>
  </si>
  <si>
    <t>66 715,5</t>
  </si>
  <si>
    <t>65 315,6</t>
  </si>
  <si>
    <t>63 554,5</t>
  </si>
  <si>
    <t>66 706,1</t>
  </si>
  <si>
    <t>62 008,7</t>
  </si>
  <si>
    <t>63 386,1</t>
  </si>
  <si>
    <t>69 396,6</t>
  </si>
  <si>
    <t>68 873,8</t>
  </si>
  <si>
    <t>71 415,7</t>
  </si>
  <si>
    <t>66 858,8</t>
  </si>
  <si>
    <t>68 046,9</t>
  </si>
  <si>
    <t>70 594,0</t>
  </si>
  <si>
    <t>79 963,6</t>
  </si>
  <si>
    <t>67 528,4</t>
  </si>
  <si>
    <t>73 731,0</t>
  </si>
  <si>
    <t>73 888,5</t>
  </si>
  <si>
    <t>69 157,7</t>
  </si>
  <si>
    <t>68 947,2</t>
  </si>
  <si>
    <t>76 558,7</t>
  </si>
  <si>
    <t>79 556,7</t>
  </si>
  <si>
    <t>79 913,3</t>
  </si>
  <si>
    <t>72 192,4</t>
  </si>
  <si>
    <t>76 630,5</t>
  </si>
  <si>
    <t>74 282,5</t>
  </si>
  <si>
    <t>82 427,2</t>
  </si>
  <si>
    <t>76 700,3</t>
  </si>
  <si>
    <t>78 075,6</t>
  </si>
  <si>
    <t>84 072,5</t>
  </si>
  <si>
    <t>79 702,6</t>
  </si>
  <si>
    <t>79 650,7</t>
  </si>
  <si>
    <t>81 385,5</t>
  </si>
  <si>
    <t>92 962,6</t>
  </si>
  <si>
    <t>89 181,0</t>
  </si>
  <si>
    <t>75 759,8</t>
  </si>
  <si>
    <t>81 878,9</t>
  </si>
  <si>
    <t>84 262,5</t>
  </si>
  <si>
    <t>87 102,4</t>
  </si>
  <si>
    <t>84 976,7</t>
  </si>
  <si>
    <t>88 383,9</t>
  </si>
  <si>
    <t>79 441,6</t>
  </si>
  <si>
    <t>85 302,8</t>
  </si>
  <si>
    <t>79 596,2</t>
  </si>
  <si>
    <t>86 733,9</t>
  </si>
  <si>
    <t>95 273,0</t>
  </si>
  <si>
    <t>87 917,0</t>
  </si>
  <si>
    <t>77 610,1</t>
  </si>
  <si>
    <t>85 719,3</t>
  </si>
  <si>
    <t>85 322,0</t>
  </si>
  <si>
    <t>88 630,1</t>
  </si>
  <si>
    <t>65 723,9</t>
  </si>
  <si>
    <t>68 818,8</t>
  </si>
  <si>
    <t>76 534,3</t>
  </si>
  <si>
    <t>86 807,0</t>
  </si>
  <si>
    <t>77 880,8</t>
  </si>
  <si>
    <t>92 424,0</t>
  </si>
  <si>
    <t>99 148,5</t>
  </si>
  <si>
    <t>98 581,1</t>
  </si>
  <si>
    <t>89 769,6</t>
  </si>
  <si>
    <t>87 308,5</t>
  </si>
  <si>
    <t>96 304,2</t>
  </si>
  <si>
    <t>113 215,9</t>
  </si>
  <si>
    <t>102 413,8</t>
  </si>
  <si>
    <t>105 007,6</t>
  </si>
  <si>
    <t>107 557,7</t>
  </si>
  <si>
    <t>109 206,1</t>
  </si>
  <si>
    <t>107 137,5</t>
  </si>
  <si>
    <t>115 245,8</t>
  </si>
  <si>
    <t>120 818,1</t>
  </si>
  <si>
    <t>131 750,9</t>
  </si>
  <si>
    <t>127 034,2</t>
  </si>
  <si>
    <t>118 102,1</t>
  </si>
  <si>
    <t>124 248,8</t>
  </si>
  <si>
    <t>151 726,1</t>
  </si>
  <si>
    <t>139 989,3</t>
  </si>
  <si>
    <t>141 548,7</t>
  </si>
  <si>
    <t>140 830,2</t>
  </si>
  <si>
    <t>138 460,6</t>
  </si>
  <si>
    <t>142 353,5</t>
  </si>
  <si>
    <t>156 928,7</t>
  </si>
  <si>
    <t>158 781,3</t>
  </si>
  <si>
    <t>156 923,0</t>
  </si>
  <si>
    <t>141 868,9</t>
  </si>
  <si>
    <t>135 808,8</t>
  </si>
  <si>
    <t>132 287,3</t>
  </si>
  <si>
    <t>148 360,6</t>
  </si>
  <si>
    <t>128 752,2</t>
  </si>
  <si>
    <t>131 960,4</t>
  </si>
  <si>
    <t>128 195,8</t>
  </si>
  <si>
    <t>121 573,4</t>
  </si>
  <si>
    <t>120 031,6</t>
  </si>
  <si>
    <t>129 667,2</t>
  </si>
  <si>
    <t>139 369,1</t>
  </si>
  <si>
    <t>137 198,5</t>
  </si>
  <si>
    <t>115 124,2</t>
  </si>
  <si>
    <t>119 431,9</t>
  </si>
  <si>
    <t>123 739,4</t>
  </si>
  <si>
    <t>125 604,3</t>
  </si>
  <si>
    <t>127 655,0</t>
  </si>
  <si>
    <t>122 304,2</t>
  </si>
  <si>
    <t>125 251,6</t>
  </si>
  <si>
    <t>127 485,2</t>
  </si>
  <si>
    <t>120 898,8</t>
  </si>
  <si>
    <t>127 785,5</t>
  </si>
  <si>
    <t>139 651,1</t>
  </si>
  <si>
    <t>133 610,3</t>
  </si>
  <si>
    <t>115 791,2</t>
  </si>
  <si>
    <t>126 726,2</t>
  </si>
  <si>
    <t>119 018,1</t>
  </si>
  <si>
    <t>9341,3</t>
  </si>
  <si>
    <t>10 647,4</t>
  </si>
  <si>
    <t>11 228,3</t>
  </si>
  <si>
    <t>10 471,2</t>
  </si>
  <si>
    <t>10 908,7</t>
  </si>
  <si>
    <t>11 470,9</t>
  </si>
  <si>
    <t>11 550,4</t>
  </si>
  <si>
    <t>11 193,9</t>
  </si>
  <si>
    <t>12 367,8</t>
  </si>
  <si>
    <t>13 605,1</t>
  </si>
  <si>
    <t>13 118,5</t>
  </si>
  <si>
    <t>12 005,2</t>
  </si>
  <si>
    <t>12 139,4</t>
  </si>
  <si>
    <t>12 084,5</t>
  </si>
  <si>
    <t>13 249,2</t>
  </si>
  <si>
    <t>11 597,3</t>
  </si>
  <si>
    <t>11 652,1</t>
  </si>
  <si>
    <t>11 325,2</t>
  </si>
  <si>
    <t>11 564,0</t>
  </si>
  <si>
    <t>12 422,5</t>
  </si>
  <si>
    <t>13 976,0</t>
  </si>
  <si>
    <t>14 748,1</t>
  </si>
  <si>
    <t>12 699,6</t>
  </si>
  <si>
    <t>10 656,6</t>
  </si>
  <si>
    <t>11 819,4</t>
  </si>
  <si>
    <t>11 958,4</t>
  </si>
  <si>
    <t>13 443,6</t>
  </si>
  <si>
    <t>13 456,6</t>
  </si>
  <si>
    <t>12 467,8</t>
  </si>
  <si>
    <t>13 787,0</t>
  </si>
  <si>
    <t>14 428,1</t>
  </si>
  <si>
    <t>13 967,5</t>
  </si>
  <si>
    <t>15 314,8</t>
  </si>
  <si>
    <t>17 530,2</t>
  </si>
  <si>
    <t>15 434,9</t>
  </si>
  <si>
    <t>13 729,8</t>
  </si>
  <si>
    <t>13 850,5</t>
  </si>
  <si>
    <t>14 603,6</t>
  </si>
  <si>
    <t>17 026,4</t>
  </si>
  <si>
    <t>16 899,6</t>
  </si>
  <si>
    <t>16 547,6</t>
  </si>
  <si>
    <t>16 658,1</t>
  </si>
  <si>
    <t>17 847,2</t>
  </si>
  <si>
    <t>15 639,7</t>
  </si>
  <si>
    <t>20 195,8</t>
  </si>
  <si>
    <t>21 476,5</t>
  </si>
  <si>
    <t>19 565,8</t>
  </si>
  <si>
    <t>18 633,5</t>
  </si>
  <si>
    <t>18 319,8</t>
  </si>
  <si>
    <t>20 376,3</t>
  </si>
  <si>
    <t>24 302,0</t>
  </si>
  <si>
    <t>23 908,8</t>
  </si>
  <si>
    <t>22 031,0</t>
  </si>
  <si>
    <t>23 483,2</t>
  </si>
  <si>
    <t>21 976,7</t>
  </si>
  <si>
    <t>21 180,0</t>
  </si>
  <si>
    <t>25 557,6</t>
  </si>
  <si>
    <t>25 024,3</t>
  </si>
  <si>
    <t>24 777,3</t>
  </si>
  <si>
    <t>21 165,4</t>
  </si>
  <si>
    <t>21 225,7</t>
  </si>
  <si>
    <t>21 469,1</t>
  </si>
  <si>
    <t>23 226,4</t>
  </si>
  <si>
    <t>24 603,6</t>
  </si>
  <si>
    <t>22 767,8</t>
  </si>
  <si>
    <t>25 141,9</t>
  </si>
  <si>
    <t>23 104,0</t>
  </si>
  <si>
    <t>22 588,9</t>
  </si>
  <si>
    <t>26 180,5</t>
  </si>
  <si>
    <t>27 243,5</t>
  </si>
  <si>
    <t>27 124,1</t>
  </si>
  <si>
    <t>24 105,3</t>
  </si>
  <si>
    <t>24 577,0</t>
  </si>
  <si>
    <t>24 983,4</t>
  </si>
  <si>
    <t>29 384,8</t>
  </si>
  <si>
    <t>26 564,7</t>
  </si>
  <si>
    <t>28 668,5</t>
  </si>
  <si>
    <t>29 939,6</t>
  </si>
  <si>
    <t>27 790,1</t>
  </si>
  <si>
    <t>27 487,6</t>
  </si>
  <si>
    <t>32 108,5</t>
  </si>
  <si>
    <t>33 560,8</t>
  </si>
  <si>
    <t>32 070,2</t>
  </si>
  <si>
    <t>26 643,8</t>
  </si>
  <si>
    <t>29 591,6</t>
  </si>
  <si>
    <t>29 800,9</t>
  </si>
  <si>
    <t>34 261,5</t>
  </si>
  <si>
    <t>30 665,1</t>
  </si>
  <si>
    <t>32 077,8</t>
  </si>
  <si>
    <t>32 169,4</t>
  </si>
  <si>
    <t>31 487,5</t>
  </si>
  <si>
    <t>31 682,3</t>
  </si>
  <si>
    <t>33 712,0</t>
  </si>
  <si>
    <t>37 949,7</t>
  </si>
  <si>
    <t>35 139,0</t>
  </si>
  <si>
    <t>28 018,8</t>
  </si>
  <si>
    <t>33 558,7</t>
  </si>
  <si>
    <t>35 401,7</t>
  </si>
  <si>
    <t>34 315,7</t>
  </si>
  <si>
    <t>37 497,7</t>
  </si>
  <si>
    <t>32 679,5</t>
  </si>
  <si>
    <t>34 157,0</t>
  </si>
  <si>
    <t>33 855,0</t>
  </si>
  <si>
    <t>30 219,7</t>
  </si>
  <si>
    <t>36 737,2</t>
  </si>
  <si>
    <t>37 490,8</t>
  </si>
  <si>
    <t>32 384,5</t>
  </si>
  <si>
    <t>27 085,6</t>
  </si>
  <si>
    <t>30 128,8</t>
  </si>
  <si>
    <t>34 524,2</t>
  </si>
  <si>
    <t>38 626,9</t>
  </si>
  <si>
    <t>34 277,5</t>
  </si>
  <si>
    <t>33 699,6</t>
  </si>
  <si>
    <t>36 317,6</t>
  </si>
  <si>
    <t>35 359,8</t>
  </si>
  <si>
    <t>30 673,1</t>
  </si>
  <si>
    <t>38 551,6</t>
  </si>
  <si>
    <t>40 022,5</t>
  </si>
  <si>
    <t>38 055,8</t>
  </si>
  <si>
    <t>33 004,6</t>
  </si>
  <si>
    <t>34 236,9</t>
  </si>
  <si>
    <t>36 286,1</t>
  </si>
  <si>
    <t>40 612,0</t>
  </si>
  <si>
    <t>38 498,9</t>
  </si>
  <si>
    <t>40 021,8</t>
  </si>
  <si>
    <t>43 053,8</t>
  </si>
  <si>
    <t>40 591,0</t>
  </si>
  <si>
    <t>38 076,8</t>
  </si>
  <si>
    <t>44 360,5</t>
  </si>
  <si>
    <t>43 939,3</t>
  </si>
  <si>
    <t>42 551,4</t>
  </si>
  <si>
    <t>38 829,7</t>
  </si>
  <si>
    <t>40 153,3</t>
  </si>
  <si>
    <t>42 483,4</t>
  </si>
  <si>
    <t>48 187,9</t>
  </si>
  <si>
    <t>44 225,9</t>
  </si>
  <si>
    <t>46 415,3</t>
  </si>
  <si>
    <t>45 259,8</t>
  </si>
  <si>
    <t>42 486,9</t>
  </si>
  <si>
    <t>45 945,9</t>
  </si>
  <si>
    <t>52 812,9</t>
  </si>
  <si>
    <t>52 071,3</t>
  </si>
  <si>
    <t>52 126,2</t>
  </si>
  <si>
    <t>46 570,2</t>
  </si>
  <si>
    <t>48 845,7</t>
  </si>
  <si>
    <t>48 144,7</t>
  </si>
  <si>
    <t>51 992,4</t>
  </si>
  <si>
    <t>48 472,3</t>
  </si>
  <si>
    <t>50 777,6</t>
  </si>
  <si>
    <t>50 567,0</t>
  </si>
  <si>
    <t>50 395,5</t>
  </si>
  <si>
    <t>48 745,1</t>
  </si>
  <si>
    <t>51 874,1</t>
  </si>
  <si>
    <t>58 036,2</t>
  </si>
  <si>
    <t>53 780,4</t>
  </si>
  <si>
    <t>41 787,6</t>
  </si>
  <si>
    <t>50 197,9</t>
  </si>
  <si>
    <t>51 233,0</t>
  </si>
  <si>
    <t>52 865,1</t>
  </si>
  <si>
    <t>54 595,6</t>
  </si>
  <si>
    <t>51 014,3</t>
  </si>
  <si>
    <t>54 495,8</t>
  </si>
  <si>
    <t>55 546,9</t>
  </si>
  <si>
    <t>52 051,9</t>
  </si>
  <si>
    <t>59 090,6</t>
  </si>
  <si>
    <t>61 895,0</t>
  </si>
  <si>
    <t>56 863,8</t>
  </si>
  <si>
    <t>48 028,9</t>
  </si>
  <si>
    <t>56 030,8</t>
  </si>
  <si>
    <t>54 454,7</t>
  </si>
  <si>
    <t>58 898,1</t>
  </si>
  <si>
    <t>59 029,0</t>
  </si>
  <si>
    <t>56 910,6</t>
  </si>
  <si>
    <t>56 521,4</t>
  </si>
  <si>
    <t>57 391,5</t>
  </si>
  <si>
    <t>50 637,4</t>
  </si>
  <si>
    <t>62 470,7</t>
  </si>
  <si>
    <t>65 554,3</t>
  </si>
  <si>
    <t>61 273,5</t>
  </si>
  <si>
    <t>54 299,6</t>
  </si>
  <si>
    <t>59 079,0</t>
  </si>
  <si>
    <t>59 866,7</t>
  </si>
  <si>
    <t>66 087,0</t>
  </si>
  <si>
    <t>60 697,3</t>
  </si>
  <si>
    <t>60 056,4</t>
  </si>
  <si>
    <t>63 477,6</t>
  </si>
  <si>
    <t>61 858,2</t>
  </si>
  <si>
    <t>56 006,2</t>
  </si>
  <si>
    <t>67 099,8</t>
  </si>
  <si>
    <t>69 393,8</t>
  </si>
  <si>
    <t>66 998,7</t>
  </si>
  <si>
    <t>60 215,6</t>
  </si>
  <si>
    <t>60 048,0</t>
  </si>
  <si>
    <t>65 693,5</t>
  </si>
  <si>
    <t>68 288,2</t>
  </si>
  <si>
    <t>67 421,7</t>
  </si>
  <si>
    <t>66 092,2</t>
  </si>
  <si>
    <t>69 818,4</t>
  </si>
  <si>
    <t>62 752,8</t>
  </si>
  <si>
    <t>62 213,8</t>
  </si>
  <si>
    <t>70 043,6</t>
  </si>
  <si>
    <t>69 990,3</t>
  </si>
  <si>
    <t>73 932,6</t>
  </si>
  <si>
    <t>67 182,7</t>
  </si>
  <si>
    <t>69 974,7</t>
  </si>
  <si>
    <t>69 859,4</t>
  </si>
  <si>
    <t>81 906,1</t>
  </si>
  <si>
    <t>69 386,2</t>
  </si>
  <si>
    <t>73 349,9</t>
  </si>
  <si>
    <t>73 532,7</t>
  </si>
  <si>
    <t>68 273,5</t>
  </si>
  <si>
    <t>69 986,4</t>
  </si>
  <si>
    <t>78 286,7</t>
  </si>
  <si>
    <t>81 190,5</t>
  </si>
  <si>
    <t>80 209,6</t>
  </si>
  <si>
    <t>66 663,8</t>
  </si>
  <si>
    <t>74 484,7</t>
  </si>
  <si>
    <t>71 882,0</t>
  </si>
  <si>
    <t>80 730,5</t>
  </si>
  <si>
    <t>76 642,3</t>
  </si>
  <si>
    <t>78 234,1</t>
  </si>
  <si>
    <t>82 355,7</t>
  </si>
  <si>
    <t>78 540,2</t>
  </si>
  <si>
    <t>76 323,4</t>
  </si>
  <si>
    <t>81 448,4</t>
  </si>
  <si>
    <t>91 405,6</t>
  </si>
  <si>
    <t>89 497,7</t>
  </si>
  <si>
    <t>69 779,6</t>
  </si>
  <si>
    <t>82 612,7</t>
  </si>
  <si>
    <t>82 307,6</t>
  </si>
  <si>
    <t>89 599,3</t>
  </si>
  <si>
    <t>85 562,6</t>
  </si>
  <si>
    <t>87 322,1</t>
  </si>
  <si>
    <t>79 853,4</t>
  </si>
  <si>
    <t>84 773,2</t>
  </si>
  <si>
    <t>78 503,2</t>
  </si>
  <si>
    <t>89 436,4</t>
  </si>
  <si>
    <t>96 251,6</t>
  </si>
  <si>
    <t>90 224,1</t>
  </si>
  <si>
    <t>77 145,2</t>
  </si>
  <si>
    <t>86 107,7</t>
  </si>
  <si>
    <t>88 031,8</t>
  </si>
  <si>
    <t>88 009,4</t>
  </si>
  <si>
    <t>64 539,2</t>
  </si>
  <si>
    <t>73 773,5</t>
  </si>
  <si>
    <t>86 983,2</t>
  </si>
  <si>
    <t>89 307,1</t>
  </si>
  <si>
    <t>81 839,4</t>
  </si>
  <si>
    <t>99 139,7</t>
  </si>
  <si>
    <t>106 952,6</t>
  </si>
  <si>
    <t>106 121,5</t>
  </si>
  <si>
    <t>91 708,5</t>
  </si>
  <si>
    <t>92 898,2</t>
  </si>
  <si>
    <t>98 725,7</t>
  </si>
  <si>
    <t>115 470,7</t>
  </si>
  <si>
    <t>109 102,8</t>
  </si>
  <si>
    <t>104 738,6</t>
  </si>
  <si>
    <t>109 425,1</t>
  </si>
  <si>
    <t>106 321,7</t>
  </si>
  <si>
    <t>101 702,2</t>
  </si>
  <si>
    <t>114 068,0</t>
  </si>
  <si>
    <t>119 297,7</t>
  </si>
  <si>
    <t>129 752,9</t>
  </si>
  <si>
    <t>114 474,1</t>
  </si>
  <si>
    <t>117 336,1</t>
  </si>
  <si>
    <t>119 587,0</t>
  </si>
  <si>
    <t>135 508,0</t>
  </si>
  <si>
    <t>128 426,9</t>
  </si>
  <si>
    <t>136 492,8</t>
  </si>
  <si>
    <t>136 664,3</t>
  </si>
  <si>
    <t>131 046,1</t>
  </si>
  <si>
    <t>132 110,4</t>
  </si>
  <si>
    <t>146 539,7</t>
  </si>
  <si>
    <t>150 459,2</t>
  </si>
  <si>
    <t>156 099,7</t>
  </si>
  <si>
    <t>128 289,1</t>
  </si>
  <si>
    <t>139 306,9</t>
  </si>
  <si>
    <t>137 254,9</t>
  </si>
  <si>
    <t>155 395,0</t>
  </si>
  <si>
    <t>131 385,6</t>
  </si>
  <si>
    <t>137 603,4</t>
  </si>
  <si>
    <t>136 132,7</t>
  </si>
  <si>
    <t>123 147,8</t>
  </si>
  <si>
    <t>121 303,4</t>
  </si>
  <si>
    <t>134 754,6</t>
  </si>
  <si>
    <t>145 183,5</t>
  </si>
  <si>
    <t>139 081,0</t>
  </si>
  <si>
    <t>112 844,3</t>
  </si>
  <si>
    <t>125 966,0</t>
  </si>
  <si>
    <t>127 335,9</t>
  </si>
  <si>
    <t>129 896,1</t>
  </si>
  <si>
    <t>130 202,2</t>
  </si>
  <si>
    <t>122 639,9</t>
  </si>
  <si>
    <t>124 961,6</t>
  </si>
  <si>
    <t>124 871,7</t>
  </si>
  <si>
    <t>115 003,1</t>
  </si>
  <si>
    <t>128 749,5</t>
  </si>
  <si>
    <t>140 488,1</t>
  </si>
  <si>
    <t>132 432,3</t>
  </si>
  <si>
    <t>109 641,0</t>
  </si>
  <si>
    <t>124 803,5</t>
  </si>
  <si>
    <t>115 935,4</t>
  </si>
  <si>
    <t>USD Reserves</t>
  </si>
  <si>
    <t>Rezerwy USD</t>
  </si>
  <si>
    <t>Zamkniecie2</t>
  </si>
  <si>
    <t>M2</t>
  </si>
  <si>
    <t>100,0</t>
  </si>
  <si>
    <t>109,5</t>
  </si>
  <si>
    <t>99,1</t>
  </si>
  <si>
    <t>95,1</t>
  </si>
  <si>
    <t>108,7</t>
  </si>
  <si>
    <t>92,3</t>
  </si>
  <si>
    <t>104,1</t>
  </si>
  <si>
    <t>109,9</t>
  </si>
  <si>
    <t>101,8</t>
  </si>
  <si>
    <t>98,2</t>
  </si>
  <si>
    <t>93,2</t>
  </si>
  <si>
    <t>99,6</t>
  </si>
  <si>
    <t>115,9</t>
  </si>
  <si>
    <t>90,3</t>
  </si>
  <si>
    <t>106,6</t>
  </si>
  <si>
    <t>102,5</t>
  </si>
  <si>
    <t>94,6</t>
  </si>
  <si>
    <t>102,1</t>
  </si>
  <si>
    <t>108,6</t>
  </si>
  <si>
    <t>104,3</t>
  </si>
  <si>
    <t>97,5</t>
  </si>
  <si>
    <t>94,1</t>
  </si>
  <si>
    <t>99,9</t>
  </si>
  <si>
    <t>97,8</t>
  </si>
  <si>
    <t>114,6</t>
  </si>
  <si>
    <t>91,7</t>
  </si>
  <si>
    <t>102,6</t>
  </si>
  <si>
    <t>100,1</t>
  </si>
  <si>
    <t>98,9</t>
  </si>
  <si>
    <t>105,6</t>
  </si>
  <si>
    <t>109,7</t>
  </si>
  <si>
    <t>95,3</t>
  </si>
  <si>
    <t>104,4</t>
  </si>
  <si>
    <t>101,5</t>
  </si>
  <si>
    <t>100,7</t>
  </si>
  <si>
    <t>90,9</t>
  </si>
  <si>
    <t>105,2</t>
  </si>
  <si>
    <t>97,3</t>
  </si>
  <si>
    <t>91,2</t>
  </si>
  <si>
    <t>116,6</t>
  </si>
  <si>
    <t>101,9</t>
  </si>
  <si>
    <t>86,9</t>
  </si>
  <si>
    <t>96,9</t>
  </si>
  <si>
    <t>93,7</t>
  </si>
  <si>
    <t>102,4</t>
  </si>
  <si>
    <t>115,6</t>
  </si>
  <si>
    <t>93,1</t>
  </si>
  <si>
    <t>106,0</t>
  </si>
  <si>
    <t>97,4</t>
  </si>
  <si>
    <t>95,6</t>
  </si>
  <si>
    <t>115,0</t>
  </si>
  <si>
    <t>96,8</t>
  </si>
  <si>
    <t>103,1</t>
  </si>
  <si>
    <t>119,1</t>
  </si>
  <si>
    <t>90,8</t>
  </si>
  <si>
    <t>101,6</t>
  </si>
  <si>
    <t>106,8</t>
  </si>
  <si>
    <t>113,1</t>
  </si>
  <si>
    <t>98,4</t>
  </si>
  <si>
    <t>98,6</t>
  </si>
  <si>
    <t>95,8</t>
  </si>
  <si>
    <t>94,3</t>
  </si>
  <si>
    <t>103,3</t>
  </si>
  <si>
    <t>114,3</t>
  </si>
  <si>
    <t>101,1</t>
  </si>
  <si>
    <t>94,2</t>
  </si>
  <si>
    <t>111,0</t>
  </si>
  <si>
    <t>98,1</t>
  </si>
  <si>
    <t>100,2</t>
  </si>
  <si>
    <t>96,0</t>
  </si>
  <si>
    <t>95,0</t>
  </si>
  <si>
    <t>110,2</t>
  </si>
  <si>
    <t>92,4</t>
  </si>
  <si>
    <t>104,0</t>
  </si>
  <si>
    <t>98,0</t>
  </si>
  <si>
    <t>99,4</t>
  </si>
  <si>
    <t>105,5</t>
  </si>
  <si>
    <t>107,8</t>
  </si>
  <si>
    <t>95,2</t>
  </si>
  <si>
    <t>87,2</t>
  </si>
  <si>
    <t>97,2</t>
  </si>
  <si>
    <t>109,3</t>
  </si>
  <si>
    <t>99,3</t>
  </si>
  <si>
    <t>106,1</t>
  </si>
  <si>
    <t>93,8</t>
  </si>
  <si>
    <t>90,4</t>
  </si>
  <si>
    <t>103,0</t>
  </si>
  <si>
    <t>109,4</t>
  </si>
  <si>
    <t>98,3</t>
  </si>
  <si>
    <t>91,5</t>
  </si>
  <si>
    <t>116,5</t>
  </si>
  <si>
    <t>103,6</t>
  </si>
  <si>
    <t>92,5</t>
  </si>
  <si>
    <t>101,4</t>
  </si>
  <si>
    <t>113,4</t>
  </si>
  <si>
    <t>92,0</t>
  </si>
  <si>
    <t>104,6</t>
  </si>
  <si>
    <t>98,7</t>
  </si>
  <si>
    <t>92,9</t>
  </si>
  <si>
    <t>115,1</t>
  </si>
  <si>
    <t>96,4</t>
  </si>
  <si>
    <t>92,1</t>
  </si>
  <si>
    <t>106,9</t>
  </si>
  <si>
    <t>107,0</t>
  </si>
  <si>
    <t>96,7</t>
  </si>
  <si>
    <t>96,1</t>
  </si>
  <si>
    <t>107,3</t>
  </si>
  <si>
    <t>90,0</t>
  </si>
  <si>
    <t>97,6</t>
  </si>
  <si>
    <t>98,5</t>
  </si>
  <si>
    <t>117,4</t>
  </si>
  <si>
    <t>86,7</t>
  </si>
  <si>
    <t>105,4</t>
  </si>
  <si>
    <t>91,6</t>
  </si>
  <si>
    <t>105,8</t>
  </si>
  <si>
    <t>105,7</t>
  </si>
  <si>
    <t>105,0</t>
  </si>
  <si>
    <t>97,7</t>
  </si>
  <si>
    <t>111,2</t>
  </si>
  <si>
    <t>104,2</t>
  </si>
  <si>
    <t>100,8</t>
  </si>
  <si>
    <t>96,3</t>
  </si>
  <si>
    <t>88,5</t>
  </si>
  <si>
    <t>102,8</t>
  </si>
  <si>
    <t>93,9</t>
  </si>
  <si>
    <t>110,8</t>
  </si>
  <si>
    <t>107,9</t>
  </si>
  <si>
    <t>90,6</t>
  </si>
  <si>
    <t>104,5</t>
  </si>
  <si>
    <t>102,2</t>
  </si>
  <si>
    <t>74,5</t>
  </si>
  <si>
    <t>110,3</t>
  </si>
  <si>
    <t>113,9</t>
  </si>
  <si>
    <t>103,4</t>
  </si>
  <si>
    <t>115,3</t>
  </si>
  <si>
    <t>95,5</t>
  </si>
  <si>
    <t>118,2</t>
  </si>
  <si>
    <t>103,8</t>
  </si>
  <si>
    <t>110,9</t>
  </si>
  <si>
    <t>104,9</t>
  </si>
  <si>
    <t>116,3</t>
  </si>
  <si>
    <t>88,3</t>
  </si>
  <si>
    <t>101,3</t>
  </si>
  <si>
    <t>93,3</t>
  </si>
  <si>
    <t>109,2</t>
  </si>
  <si>
    <t>99,0</t>
  </si>
  <si>
    <t>93,6</t>
  </si>
  <si>
    <t>97,0</t>
  </si>
  <si>
    <t>100,4</t>
  </si>
  <si>
    <t>113,8</t>
  </si>
  <si>
    <t>85,8</t>
  </si>
  <si>
    <t>104,7</t>
  </si>
  <si>
    <t>92,2</t>
  </si>
  <si>
    <t>101,2</t>
  </si>
  <si>
    <t>108,0</t>
  </si>
  <si>
    <t>100,3</t>
  </si>
  <si>
    <t>90,5</t>
  </si>
  <si>
    <t>103,9</t>
  </si>
  <si>
    <t>108,8</t>
  </si>
  <si>
    <t>94,7</t>
  </si>
  <si>
    <t>99,7</t>
  </si>
  <si>
    <t>Produkcja przemysłowa</t>
  </si>
  <si>
    <t>USDPLN</t>
  </si>
  <si>
    <t>Industry Production</t>
  </si>
  <si>
    <t>Interest Rate</t>
  </si>
  <si>
    <t>Date</t>
  </si>
  <si>
    <t>Inflation</t>
  </si>
  <si>
    <t>103,7</t>
  </si>
  <si>
    <t>101,0</t>
  </si>
  <si>
    <t>100,6</t>
  </si>
  <si>
    <t>100,9</t>
  </si>
  <si>
    <t>102,3</t>
  </si>
  <si>
    <t>104,8</t>
  </si>
  <si>
    <t>103,5</t>
  </si>
  <si>
    <t>102,9</t>
  </si>
  <si>
    <t>102,0</t>
  </si>
  <si>
    <t>102,7</t>
  </si>
  <si>
    <t>101,7</t>
  </si>
  <si>
    <t>100,5</t>
  </si>
  <si>
    <t>99,8</t>
  </si>
  <si>
    <t>99,2</t>
  </si>
  <si>
    <t>99,5</t>
  </si>
  <si>
    <t>103,2</t>
  </si>
  <si>
    <t>105,9</t>
  </si>
  <si>
    <t>108,5</t>
  </si>
  <si>
    <t>112,4</t>
  </si>
  <si>
    <t>115,5</t>
  </si>
  <si>
    <t>116,1</t>
  </si>
  <si>
    <t>117,2</t>
  </si>
  <si>
    <t>117,9</t>
  </si>
  <si>
    <t>117,5</t>
  </si>
  <si>
    <t>118,4</t>
  </si>
  <si>
    <t>114,7</t>
  </si>
  <si>
    <t>113,0</t>
  </si>
  <si>
    <t>111,5</t>
  </si>
  <si>
    <t>110,1</t>
  </si>
  <si>
    <t>108,2</t>
  </si>
  <si>
    <t>106,2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</si>
</sst>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0000000000"/>
  </numFmts>
  <fonts count="23">
    <font>
      <sz val="11"/>
      <color theme="1"/>
      <name val="Calibri"/>
      <family val="2"/>
      <charset val="238"/>
    </font>
    <font>
      <b/>
      <sz val="11"/>
      <color theme="1"/>
      <name val="Calibri"/>
      <family val="2"/>
      <charset val="238"/>
    </font>
    <font>
      <sz val="10"/>
      <color theme="1"/>
      <name val="Arial Unicode MS"/>
    </font>
    <font>
      <sz val="10"/>
      <color rgb="FFFF0000"/>
      <name val="Arial Unicode MS"/>
    </font>
    <font>
      <sz val="11"/>
      <color indexed="8"/>
      <name val="Calibri"/>
      <family val="2"/>
      <charset val="238"/>
    </font>
    <font>
      <sz val="11"/>
      <name val="Calibri"/>
      <family val="2"/>
      <charset val="238"/>
    </font>
    <font>
      <sz val="11"/>
      <color theme="1"/>
      <name val="Calibri"/>
      <family val="2"/>
      <charset val="238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Calibri"/>
      <family val="2"/>
      <charset val="238"/>
    </font>
    <font>
      <b/>
      <sz val="13"/>
      <color theme="3"/>
      <name val="Calibri"/>
      <family val="2"/>
      <charset val="238"/>
    </font>
    <font>
      <b/>
      <sz val="11"/>
      <color theme="3"/>
      <name val="Calibri"/>
      <family val="2"/>
      <charset val="238"/>
    </font>
    <font>
      <sz val="11"/>
      <color rgb="FF006100"/>
      <name val="Calibri"/>
      <family val="2"/>
      <charset val="238"/>
    </font>
    <font>
      <sz val="11"/>
      <color rgb="FF9C0006"/>
      <name val="Calibri"/>
      <family val="2"/>
      <charset val="238"/>
    </font>
    <font>
      <sz val="11"/>
      <color rgb="FF9C5700"/>
      <name val="Calibri"/>
      <family val="2"/>
      <charset val="238"/>
    </font>
    <font>
      <sz val="11"/>
      <color rgb="FF3F3F76"/>
      <name val="Calibri"/>
      <family val="2"/>
      <charset val="238"/>
    </font>
    <font>
      <b/>
      <sz val="11"/>
      <color rgb="FF3F3F3F"/>
      <name val="Calibri"/>
      <family val="2"/>
      <charset val="238"/>
    </font>
    <font>
      <b/>
      <sz val="11"/>
      <color rgb="FFFA7D00"/>
      <name val="Calibri"/>
      <family val="2"/>
      <charset val="238"/>
    </font>
    <font>
      <sz val="11"/>
      <color rgb="FFFA7D00"/>
      <name val="Calibri"/>
      <family val="2"/>
      <charset val="238"/>
    </font>
    <font>
      <b/>
      <sz val="11"/>
      <color theme="0"/>
      <name val="Calibri"/>
      <family val="2"/>
      <charset val="238"/>
    </font>
    <font>
      <sz val="11"/>
      <color rgb="FFFF0000"/>
      <name val="Calibri"/>
      <family val="2"/>
      <charset val="238"/>
    </font>
    <font>
      <i/>
      <sz val="11"/>
      <color rgb="FF7F7F7F"/>
      <name val="Calibri"/>
      <family val="2"/>
      <charset val="238"/>
    </font>
    <font>
      <sz val="11"/>
      <color theme="0"/>
      <name val="Calibri"/>
      <family val="2"/>
      <charset val="238"/>
    </font>
    <font>
      <sz val="11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7" fillId="0" borderId="0" applyNumberFormat="0" applyFill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7" applyNumberFormat="0" applyAlignment="0" applyProtection="0"/>
    <xf numFmtId="0" fontId="15" fillId="9" borderId="8" applyNumberFormat="0" applyAlignment="0" applyProtection="0"/>
    <xf numFmtId="0" fontId="16" fillId="9" borderId="7" applyNumberFormat="0" applyAlignment="0" applyProtection="0"/>
    <xf numFmtId="0" fontId="17" fillId="0" borderId="9" applyNumberFormat="0" applyFill="0" applyAlignment="0" applyProtection="0"/>
    <xf numFmtId="0" fontId="18" fillId="10" borderId="10" applyNumberFormat="0" applyAlignment="0" applyProtection="0"/>
    <xf numFmtId="0" fontId="19" fillId="0" borderId="0" applyNumberFormat="0" applyFill="0" applyBorder="0" applyAlignment="0" applyProtection="0"/>
    <xf numFmtId="0" fontId="6" fillId="11" borderId="11" applyNumberFormat="0" applyFont="0" applyAlignment="0" applyProtection="0"/>
    <xf numFmtId="0" fontId="20" fillId="0" borderId="0" applyNumberFormat="0" applyFill="0" applyBorder="0" applyAlignment="0" applyProtection="0"/>
    <xf numFmtId="0" fontId="1" fillId="0" borderId="12" applyNumberFormat="0" applyFill="0" applyAlignment="0" applyProtection="0"/>
    <xf numFmtId="0" fontId="21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1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1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1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1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1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22" fillId="0" borderId="0"/>
  </cellStyleXfs>
  <cellXfs count="20">
    <xf numFmtId="0" fontId="0" fillId="0" borderId="0" xfId="0"/>
    <xf numFmtId="14" fontId="0" fillId="0" borderId="0" xfId="0" applyNumberFormat="1"/>
    <xf numFmtId="14" fontId="0" fillId="2" borderId="1" xfId="0" applyNumberFormat="1" applyFill="1" applyBorder="1"/>
    <xf numFmtId="14" fontId="0" fillId="0" borderId="1" xfId="0" applyNumberFormat="1" applyBorder="1"/>
    <xf numFmtId="49" fontId="2" fillId="0" borderId="0" xfId="0" applyNumberFormat="1" applyFont="1" applyAlignment="1">
      <alignment horizontal="right" wrapText="1"/>
    </xf>
    <xf numFmtId="49" fontId="3" fillId="0" borderId="0" xfId="0" applyNumberFormat="1" applyFont="1" applyAlignment="1">
      <alignment horizontal="right"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right" wrapText="1"/>
    </xf>
    <xf numFmtId="164" fontId="3" fillId="0" borderId="0" xfId="0" applyNumberFormat="1" applyFont="1" applyAlignment="1">
      <alignment horizontal="right" wrapText="1"/>
    </xf>
    <xf numFmtId="4" fontId="4" fillId="0" borderId="0" xfId="0" applyNumberFormat="1" applyFont="1"/>
    <xf numFmtId="4" fontId="5" fillId="3" borderId="2" xfId="0" applyNumberFormat="1" applyFont="1" applyFill="1" applyBorder="1" applyAlignment="1">
      <alignment vertical="center"/>
    </xf>
    <xf numFmtId="4" fontId="5" fillId="4" borderId="2" xfId="0" applyNumberFormat="1" applyFont="1" applyFill="1" applyBorder="1" applyAlignment="1">
      <alignment vertical="center"/>
    </xf>
    <xf numFmtId="4" fontId="5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4" fontId="4" fillId="0" borderId="3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right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ny 4" xfId="42" xr:uid="{846D2CD1-9EFC-4512-AFBA-C5833CFDCA29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2" formatCode="0.00"/>
    </dxf>
    <dxf>
      <numFmt numFmtId="19" formatCode="dd/mm/yyyy"/>
    </dxf>
    <dxf>
      <numFmt numFmtId="2" formatCode="0.00"/>
    </dxf>
    <dxf>
      <numFmt numFmtId="2" formatCode="0.00"/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EB4155F-9902-4792-8057-E25981F3EFFD}" autoFormatId="16" applyNumberFormats="0" applyBorderFormats="0" applyFontFormats="0" applyPatternFormats="0" applyAlignmentFormats="0" applyWidthHeightFormats="0">
  <queryTableRefresh nextId="7" unboundColumnsRight="1">
    <queryTableFields count="3">
      <queryTableField id="1" name="Data" tableColumnId="1"/>
      <queryTableField id="5" name="Zamkniecie" tableColumnId="5"/>
      <queryTableField id="6" dataBound="0" tableColumnId="6"/>
    </queryTableFields>
    <queryTableDeletedFields count="3">
      <deletedField name="Otwarcie"/>
      <deletedField name="Najwyzszy"/>
      <deletedField name="Najnizszy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F2EC026-D286-4A77-888B-C0660A7B3E80}" autoFormatId="16" applyNumberFormats="0" applyBorderFormats="0" applyFontFormats="0" applyPatternFormats="0" applyAlignmentFormats="0" applyWidthHeightFormats="0">
  <queryTableRefresh nextId="6">
    <queryTableFields count="2">
      <queryTableField id="1" name="Data" tableColumnId="1"/>
      <queryTableField id="5" name="Zamkniecie" tableColumnId="5"/>
    </queryTableFields>
    <queryTableDeletedFields count="3">
      <deletedField name="Otwarcie"/>
      <deletedField name="Najwyzszy"/>
      <deletedField name="Najnizsz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D65927-2EAB-4A4F-A960-FB6BB76EE9E1}" name="inrtpl_m_m" displayName="inrtpl_m_m" ref="A1:C216" tableType="queryTable" totalsRowShown="0">
  <autoFilter ref="A1:C216" xr:uid="{90D65927-2EAB-4A4F-A960-FB6BB76EE9E1}"/>
  <tableColumns count="3">
    <tableColumn id="1" xr3:uid="{77C82148-EBED-4398-BAFC-28E3083A813A}" uniqueName="1" name="Data" queryTableFieldId="1" dataDxfId="4"/>
    <tableColumn id="5" xr3:uid="{73423A4F-F162-43B7-BA70-E04CADB9E7D7}" uniqueName="5" name="Zamkniecie" queryTableFieldId="5" dataDxfId="3"/>
    <tableColumn id="6" xr3:uid="{5090E209-D4B8-4BDF-AE19-C2B3B07D0ACD}" uniqueName="6" name="Zamkniecie2" queryTableFieldId="6" dataDxfId="2">
      <calculatedColumnFormula>inrtpl_m_m[[#This Row],[Zamkniecie]]*1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21DC6D-310B-4160-812D-6784B77B285F}" name="usdpln_m" displayName="usdpln_m" ref="A1:B498" tableType="queryTable" totalsRowShown="0">
  <autoFilter ref="A1:B498" xr:uid="{3A21DC6D-310B-4160-812D-6784B77B285F}"/>
  <tableColumns count="2">
    <tableColumn id="1" xr3:uid="{B563B2DA-A2B4-4D9E-891E-BDB46CD7EF9F}" uniqueName="1" name="Data" queryTableFieldId="1" dataDxfId="1"/>
    <tableColumn id="5" xr3:uid="{E77908C5-561C-4D99-9153-538925E64D44}" uniqueName="5" name="Zamknieci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F3AFC-B8BB-4E6B-8BFD-A82B22CEB202}">
  <dimension ref="A1:I241"/>
  <sheetViews>
    <sheetView tabSelected="1" workbookViewId="0">
      <selection activeCell="N11" sqref="N11"/>
    </sheetView>
  </sheetViews>
  <sheetFormatPr defaultRowHeight="15"/>
  <cols>
    <col min="1" max="1" width="10.140625" bestFit="1" customWidth="1"/>
    <col min="2" max="2" width="10.140625" customWidth="1"/>
    <col min="3" max="3" width="12.42578125" bestFit="1" customWidth="1"/>
    <col min="4" max="4" width="11.42578125" bestFit="1" customWidth="1"/>
    <col min="5" max="5" width="18.7109375" bestFit="1" customWidth="1"/>
    <col min="6" max="7" width="8.5703125" bestFit="1" customWidth="1"/>
    <col min="8" max="8" width="8" bestFit="1" customWidth="1"/>
    <col min="9" max="9" width="13.140625" bestFit="1" customWidth="1"/>
  </cols>
  <sheetData>
    <row r="1" spans="1:9">
      <c r="A1" s="15" t="s">
        <v>793</v>
      </c>
      <c r="B1" s="15" t="s">
        <v>794</v>
      </c>
      <c r="C1" s="15" t="s">
        <v>792</v>
      </c>
      <c r="D1" s="15" t="s">
        <v>627</v>
      </c>
      <c r="E1" s="15" t="s">
        <v>791</v>
      </c>
      <c r="F1" s="15" t="s">
        <v>19</v>
      </c>
      <c r="G1" s="15" t="s">
        <v>20</v>
      </c>
      <c r="H1" s="15" t="s">
        <v>790</v>
      </c>
      <c r="I1" s="15" t="s">
        <v>624</v>
      </c>
    </row>
    <row r="2" spans="1:9">
      <c r="A2" s="16">
        <v>38383</v>
      </c>
      <c r="B2" s="17">
        <f>Inflation!C2</f>
        <v>103.7</v>
      </c>
      <c r="C2" s="17">
        <f>LOOKUP(A2,inrtpl_m_m[Data],inrtpl_m_m[Zamkniecie2])</f>
        <v>6.5</v>
      </c>
      <c r="D2" s="14">
        <v>366416.95500000002</v>
      </c>
      <c r="E2" s="17">
        <f>'Industry Production'!C2</f>
        <v>100</v>
      </c>
      <c r="F2" s="17">
        <f>'Import Export'!D2</f>
        <v>14440.8</v>
      </c>
      <c r="G2" s="17">
        <f>'Import Export'!E2</f>
        <v>9341.2999999999993</v>
      </c>
      <c r="H2" s="17">
        <v>3.1105999999999998</v>
      </c>
      <c r="I2" s="18">
        <v>40968.300000000003</v>
      </c>
    </row>
    <row r="3" spans="1:9">
      <c r="A3" s="16">
        <v>38411</v>
      </c>
      <c r="B3" s="17">
        <f>Inflation!C3</f>
        <v>103.6</v>
      </c>
      <c r="C3" s="17">
        <f>LOOKUP(A3,inrtpl_m_m[Data],inrtpl_m_m[Zamkniecie2])</f>
        <v>6.5</v>
      </c>
      <c r="D3" s="14">
        <v>371693.57699999999</v>
      </c>
      <c r="E3" s="17">
        <f>'Industry Production'!C3</f>
        <v>100</v>
      </c>
      <c r="F3" s="17">
        <f>'Import Export'!D3</f>
        <v>16351.6</v>
      </c>
      <c r="G3" s="17">
        <f>'Import Export'!E3</f>
        <v>10647.4</v>
      </c>
      <c r="H3" s="17">
        <v>2.9384000000000001</v>
      </c>
      <c r="I3" s="18">
        <v>42535.8</v>
      </c>
    </row>
    <row r="4" spans="1:9">
      <c r="A4" s="16">
        <v>38442</v>
      </c>
      <c r="B4" s="17">
        <f>Inflation!C4</f>
        <v>103.4</v>
      </c>
      <c r="C4" s="17">
        <f>LOOKUP(A4,inrtpl_m_m[Data],inrtpl_m_m[Zamkniecie2])</f>
        <v>6</v>
      </c>
      <c r="D4" s="14">
        <v>380308.27299999999</v>
      </c>
      <c r="E4" s="17">
        <f>'Industry Production'!C4</f>
        <v>109.5</v>
      </c>
      <c r="F4" s="17">
        <f>'Import Export'!D4</f>
        <v>17884.3</v>
      </c>
      <c r="G4" s="17">
        <f>'Import Export'!E4</f>
        <v>11228.3</v>
      </c>
      <c r="H4" s="17">
        <v>3.1444999999999999</v>
      </c>
      <c r="I4" s="18">
        <v>38220.800000000003</v>
      </c>
    </row>
    <row r="5" spans="1:9">
      <c r="A5" s="16">
        <v>38472</v>
      </c>
      <c r="B5" s="17">
        <f>Inflation!C5</f>
        <v>103</v>
      </c>
      <c r="C5" s="17">
        <f>LOOKUP(A5,inrtpl_m_m[Data],inrtpl_m_m[Zamkniecie2])</f>
        <v>5.5</v>
      </c>
      <c r="D5" s="14">
        <v>385623.92499999999</v>
      </c>
      <c r="E5" s="17">
        <f>'Industry Production'!C5</f>
        <v>99.1</v>
      </c>
      <c r="F5" s="17">
        <f>'Import Export'!D5</f>
        <v>16446.099999999999</v>
      </c>
      <c r="G5" s="17">
        <f>'Import Export'!E5</f>
        <v>10471.200000000001</v>
      </c>
      <c r="H5" s="17">
        <v>3.3087</v>
      </c>
      <c r="I5" s="18">
        <v>40773.599999999999</v>
      </c>
    </row>
    <row r="6" spans="1:9">
      <c r="A6" s="16">
        <v>38503</v>
      </c>
      <c r="B6" s="17">
        <f>Inflation!C6</f>
        <v>102.5</v>
      </c>
      <c r="C6" s="17">
        <f>LOOKUP(A6,inrtpl_m_m[Data],inrtpl_m_m[Zamkniecie2])</f>
        <v>5.5</v>
      </c>
      <c r="D6" s="14">
        <v>392122.96100000001</v>
      </c>
      <c r="E6" s="17">
        <f>'Industry Production'!C6</f>
        <v>95.1</v>
      </c>
      <c r="F6" s="17">
        <f>'Import Export'!D6</f>
        <v>19171.599999999999</v>
      </c>
      <c r="G6" s="17">
        <f>'Import Export'!E6</f>
        <v>10908.7</v>
      </c>
      <c r="H6" s="17">
        <v>3.3612000000000002</v>
      </c>
      <c r="I6" s="18">
        <v>40638</v>
      </c>
    </row>
    <row r="7" spans="1:9">
      <c r="A7" s="16">
        <v>38533</v>
      </c>
      <c r="B7" s="17">
        <f>Inflation!C7</f>
        <v>101.4</v>
      </c>
      <c r="C7" s="17">
        <f>LOOKUP(A7,inrtpl_m_m[Data],inrtpl_m_m[Zamkniecie2])</f>
        <v>5</v>
      </c>
      <c r="D7" s="14">
        <v>390159.92700000003</v>
      </c>
      <c r="E7" s="17">
        <f>'Industry Production'!C7</f>
        <v>108.7</v>
      </c>
      <c r="F7" s="17">
        <f>'Import Export'!D7</f>
        <v>17958.599999999999</v>
      </c>
      <c r="G7" s="17">
        <f>'Import Export'!E7</f>
        <v>11470.9</v>
      </c>
      <c r="H7" s="17">
        <v>3.3431000000000002</v>
      </c>
      <c r="I7" s="18">
        <v>41237.200000000004</v>
      </c>
    </row>
    <row r="8" spans="1:9">
      <c r="A8" s="16">
        <v>38564</v>
      </c>
      <c r="B8" s="17">
        <f>Inflation!C8</f>
        <v>101.3</v>
      </c>
      <c r="C8" s="17">
        <f>LOOKUP(A8,inrtpl_m_m[Data],inrtpl_m_m[Zamkniecie2])</f>
        <v>4.75</v>
      </c>
      <c r="D8" s="14">
        <v>391150.42200000002</v>
      </c>
      <c r="E8" s="17">
        <f>'Industry Production'!C8</f>
        <v>92.3</v>
      </c>
      <c r="F8" s="17">
        <f>'Import Export'!D8</f>
        <v>17786.400000000001</v>
      </c>
      <c r="G8" s="17">
        <f>'Import Export'!E8</f>
        <v>11550.4</v>
      </c>
      <c r="H8" s="17">
        <v>3.3531</v>
      </c>
      <c r="I8" s="18">
        <v>40801.4</v>
      </c>
    </row>
    <row r="9" spans="1:9">
      <c r="A9" s="16">
        <v>38595</v>
      </c>
      <c r="B9" s="17">
        <f>Inflation!C9</f>
        <v>101.6</v>
      </c>
      <c r="C9" s="17">
        <f>LOOKUP(A9,inrtpl_m_m[Data],inrtpl_m_m[Zamkniecie2])</f>
        <v>4.75</v>
      </c>
      <c r="D9" s="14">
        <v>397421.79700000002</v>
      </c>
      <c r="E9" s="17">
        <f>'Industry Production'!C9</f>
        <v>104.1</v>
      </c>
      <c r="F9" s="17">
        <f>'Import Export'!D9</f>
        <v>16692.8</v>
      </c>
      <c r="G9" s="17">
        <f>'Import Export'!E9</f>
        <v>11193.9</v>
      </c>
      <c r="H9" s="17">
        <v>3.2707000000000002</v>
      </c>
      <c r="I9" s="18">
        <v>41338.400000000001</v>
      </c>
    </row>
    <row r="10" spans="1:9">
      <c r="A10" s="16">
        <v>38625</v>
      </c>
      <c r="B10" s="17">
        <f>Inflation!C10</f>
        <v>101.8</v>
      </c>
      <c r="C10" s="17">
        <f>LOOKUP(A10,inrtpl_m_m[Data],inrtpl_m_m[Zamkniecie2])</f>
        <v>4.5</v>
      </c>
      <c r="D10" s="14">
        <v>401581.22</v>
      </c>
      <c r="E10" s="17">
        <f>'Industry Production'!C10</f>
        <v>109.9</v>
      </c>
      <c r="F10" s="17">
        <f>'Import Export'!D10</f>
        <v>18052.099999999999</v>
      </c>
      <c r="G10" s="17">
        <f>'Import Export'!E10</f>
        <v>12367.8</v>
      </c>
      <c r="H10" s="17">
        <v>3.2368999999999999</v>
      </c>
      <c r="I10" s="18">
        <v>41054.700000000004</v>
      </c>
    </row>
    <row r="11" spans="1:9">
      <c r="A11" s="16">
        <v>38656</v>
      </c>
      <c r="B11" s="17">
        <f>Inflation!C11</f>
        <v>101.6</v>
      </c>
      <c r="C11" s="17">
        <f>LOOKUP(A11,inrtpl_m_m[Data],inrtpl_m_m[Zamkniecie2])</f>
        <v>4.5</v>
      </c>
      <c r="D11" s="14">
        <v>407006.48100000003</v>
      </c>
      <c r="E11" s="17">
        <f>'Industry Production'!C11</f>
        <v>101.8</v>
      </c>
      <c r="F11" s="17">
        <f>'Import Export'!D11</f>
        <v>20579.599999999999</v>
      </c>
      <c r="G11" s="17">
        <f>'Import Export'!E11</f>
        <v>13605.1</v>
      </c>
      <c r="H11" s="17">
        <v>3.3073999999999999</v>
      </c>
      <c r="I11" s="18">
        <v>41679.5</v>
      </c>
    </row>
    <row r="12" spans="1:9">
      <c r="A12" s="16">
        <v>38686</v>
      </c>
      <c r="B12" s="17">
        <f>Inflation!C12</f>
        <v>101</v>
      </c>
      <c r="C12" s="17">
        <f>LOOKUP(A12,inrtpl_m_m[Data],inrtpl_m_m[Zamkniecie2])</f>
        <v>4.5</v>
      </c>
      <c r="D12" s="14">
        <v>408782.11300000001</v>
      </c>
      <c r="E12" s="17">
        <f>'Industry Production'!C12</f>
        <v>100</v>
      </c>
      <c r="F12" s="17">
        <f>'Import Export'!D12</f>
        <v>19130.900000000001</v>
      </c>
      <c r="G12" s="17">
        <f>'Import Export'!E12</f>
        <v>13118.5</v>
      </c>
      <c r="H12" s="17">
        <v>3.3132999999999999</v>
      </c>
      <c r="I12" s="18">
        <v>41440.6</v>
      </c>
    </row>
    <row r="13" spans="1:9">
      <c r="A13" s="16">
        <v>38717</v>
      </c>
      <c r="B13" s="17">
        <f>Inflation!C13</f>
        <v>100.7</v>
      </c>
      <c r="C13" s="17">
        <f>LOOKUP(A13,inrtpl_m_m[Data],inrtpl_m_m[Zamkniecie2])</f>
        <v>4.5</v>
      </c>
      <c r="D13" s="14">
        <v>415163.51899999997</v>
      </c>
      <c r="E13" s="17">
        <f>'Industry Production'!C13</f>
        <v>98.2</v>
      </c>
      <c r="F13" s="17">
        <f>'Import Export'!D13</f>
        <v>18577</v>
      </c>
      <c r="G13" s="17">
        <f>'Import Export'!E13</f>
        <v>12005.2</v>
      </c>
      <c r="H13" s="17">
        <v>3.2446999999999999</v>
      </c>
      <c r="I13" s="18">
        <v>42571.199999999997</v>
      </c>
    </row>
    <row r="14" spans="1:9">
      <c r="A14" s="16">
        <v>38748</v>
      </c>
      <c r="B14" s="17">
        <f>Inflation!C14</f>
        <v>100.6</v>
      </c>
      <c r="C14" s="17">
        <f>LOOKUP(A14,inrtpl_m_m[Data],inrtpl_m_m[Zamkniecie2])</f>
        <v>4.5</v>
      </c>
      <c r="D14" s="14">
        <v>410120.20600000001</v>
      </c>
      <c r="E14" s="17">
        <f>'Industry Production'!C14</f>
        <v>93.2</v>
      </c>
      <c r="F14" s="17">
        <f>'Import Export'!D14</f>
        <v>16538</v>
      </c>
      <c r="G14" s="17">
        <f>'Import Export'!E14</f>
        <v>12139.4</v>
      </c>
      <c r="H14" s="17">
        <v>3.1457000000000002</v>
      </c>
      <c r="I14" s="18">
        <v>43202.1</v>
      </c>
    </row>
    <row r="15" spans="1:9">
      <c r="A15" s="16">
        <v>38776</v>
      </c>
      <c r="B15" s="17">
        <f>Inflation!C15</f>
        <v>100.7</v>
      </c>
      <c r="C15" s="17">
        <f>LOOKUP(A15,inrtpl_m_m[Data],inrtpl_m_m[Zamkniecie2])</f>
        <v>4.25</v>
      </c>
      <c r="D15" s="14">
        <v>417061.95899999997</v>
      </c>
      <c r="E15" s="17">
        <f>'Industry Production'!C15</f>
        <v>99.6</v>
      </c>
      <c r="F15" s="17">
        <f>'Import Export'!D15</f>
        <v>15843.6</v>
      </c>
      <c r="G15" s="17">
        <f>'Import Export'!E15</f>
        <v>12084.5</v>
      </c>
      <c r="H15" s="17">
        <v>3.1699000000000002</v>
      </c>
      <c r="I15" s="18">
        <v>45506.799999999996</v>
      </c>
    </row>
    <row r="16" spans="1:9">
      <c r="A16" s="16">
        <v>38807</v>
      </c>
      <c r="B16" s="17">
        <f>Inflation!C16</f>
        <v>100.4</v>
      </c>
      <c r="C16" s="17">
        <f>LOOKUP(A16,inrtpl_m_m[Data],inrtpl_m_m[Zamkniecie2])</f>
        <v>4</v>
      </c>
      <c r="D16" s="14">
        <v>421150.53100000002</v>
      </c>
      <c r="E16" s="17">
        <f>'Industry Production'!C16</f>
        <v>115.9</v>
      </c>
      <c r="F16" s="17">
        <f>'Import Export'!D16</f>
        <v>18392</v>
      </c>
      <c r="G16" s="17">
        <f>'Import Export'!E16</f>
        <v>13249.2</v>
      </c>
      <c r="H16" s="17">
        <v>3.2351999999999999</v>
      </c>
      <c r="I16" s="18">
        <v>44269.8</v>
      </c>
    </row>
    <row r="17" spans="1:9">
      <c r="A17" s="16">
        <v>38837</v>
      </c>
      <c r="B17" s="17">
        <f>Inflation!C17</f>
        <v>100.7</v>
      </c>
      <c r="C17" s="17">
        <f>LOOKUP(A17,inrtpl_m_m[Data],inrtpl_m_m[Zamkniecie2])</f>
        <v>4</v>
      </c>
      <c r="D17" s="14">
        <v>425273.79300000001</v>
      </c>
      <c r="E17" s="17">
        <f>'Industry Production'!C17</f>
        <v>90.3</v>
      </c>
      <c r="F17" s="17">
        <f>'Import Export'!D17</f>
        <v>16675.400000000001</v>
      </c>
      <c r="G17" s="17">
        <f>'Import Export'!E17</f>
        <v>11597.3</v>
      </c>
      <c r="H17" s="17">
        <v>3.0703</v>
      </c>
      <c r="I17" s="18">
        <v>45397.799999999996</v>
      </c>
    </row>
    <row r="18" spans="1:9">
      <c r="A18" s="16">
        <v>38868</v>
      </c>
      <c r="B18" s="17">
        <f>Inflation!C18</f>
        <v>100.9</v>
      </c>
      <c r="C18" s="17">
        <f>LOOKUP(A18,inrtpl_m_m[Data],inrtpl_m_m[Zamkniecie2])</f>
        <v>4</v>
      </c>
      <c r="D18" s="14">
        <v>433601.45199999999</v>
      </c>
      <c r="E18" s="17">
        <f>'Industry Production'!C18</f>
        <v>106.6</v>
      </c>
      <c r="F18" s="17">
        <f>'Import Export'!D18</f>
        <v>16827.900000000001</v>
      </c>
      <c r="G18" s="17">
        <f>'Import Export'!E18</f>
        <v>11652.1</v>
      </c>
      <c r="H18" s="17">
        <v>3.0666000000000002</v>
      </c>
      <c r="I18" s="18">
        <v>48529.3</v>
      </c>
    </row>
    <row r="19" spans="1:9">
      <c r="A19" s="16">
        <v>38898</v>
      </c>
      <c r="B19" s="17">
        <f>Inflation!C19</f>
        <v>100.8</v>
      </c>
      <c r="C19" s="17">
        <f>LOOKUP(A19,inrtpl_m_m[Data],inrtpl_m_m[Zamkniecie2])</f>
        <v>4</v>
      </c>
      <c r="D19" s="14">
        <v>440505.17800000001</v>
      </c>
      <c r="E19" s="17">
        <f>'Industry Production'!C19</f>
        <v>102.5</v>
      </c>
      <c r="F19" s="17">
        <f>'Import Export'!D19</f>
        <v>16170.8</v>
      </c>
      <c r="G19" s="17">
        <f>'Import Export'!E19</f>
        <v>11325.2</v>
      </c>
      <c r="H19" s="17">
        <v>3.1905999999999999</v>
      </c>
      <c r="I19" s="18">
        <v>46918.3</v>
      </c>
    </row>
    <row r="20" spans="1:9">
      <c r="A20" s="16">
        <v>38929</v>
      </c>
      <c r="B20" s="17">
        <f>Inflation!C20</f>
        <v>101.1</v>
      </c>
      <c r="C20" s="17">
        <f>LOOKUP(A20,inrtpl_m_m[Data],inrtpl_m_m[Zamkniecie2])</f>
        <v>4</v>
      </c>
      <c r="D20" s="14">
        <v>442798.05800000002</v>
      </c>
      <c r="E20" s="17">
        <f>'Industry Production'!C20</f>
        <v>94.6</v>
      </c>
      <c r="F20" s="17">
        <f>'Import Export'!D20</f>
        <v>17383.900000000001</v>
      </c>
      <c r="G20" s="17">
        <f>'Import Export'!E20</f>
        <v>11564</v>
      </c>
      <c r="H20" s="17">
        <v>3.0912000000000002</v>
      </c>
      <c r="I20" s="18">
        <v>48428.500000000007</v>
      </c>
    </row>
    <row r="21" spans="1:9">
      <c r="A21" s="16">
        <v>38960</v>
      </c>
      <c r="B21" s="17">
        <f>Inflation!C21</f>
        <v>101.6</v>
      </c>
      <c r="C21" s="17">
        <f>LOOKUP(A21,inrtpl_m_m[Data],inrtpl_m_m[Zamkniecie2])</f>
        <v>4</v>
      </c>
      <c r="D21" s="14">
        <v>449012.04100000003</v>
      </c>
      <c r="E21" s="17">
        <f>'Industry Production'!C21</f>
        <v>102.1</v>
      </c>
      <c r="F21" s="17">
        <f>'Import Export'!D21</f>
        <v>16878.3</v>
      </c>
      <c r="G21" s="17">
        <f>'Import Export'!E21</f>
        <v>12422.5</v>
      </c>
      <c r="H21" s="17">
        <v>3.0798000000000001</v>
      </c>
      <c r="I21" s="18">
        <v>48713.000000000007</v>
      </c>
    </row>
    <row r="22" spans="1:9">
      <c r="A22" s="16">
        <v>38990</v>
      </c>
      <c r="B22" s="17">
        <f>Inflation!C22</f>
        <v>101.6</v>
      </c>
      <c r="C22" s="17">
        <f>LOOKUP(A22,inrtpl_m_m[Data],inrtpl_m_m[Zamkniecie2])</f>
        <v>4</v>
      </c>
      <c r="D22" s="14">
        <v>454205.82799999998</v>
      </c>
      <c r="E22" s="17">
        <f>'Industry Production'!C22</f>
        <v>108.6</v>
      </c>
      <c r="F22" s="17">
        <f>'Import Export'!D22</f>
        <v>17801.599999999999</v>
      </c>
      <c r="G22" s="17">
        <f>'Import Export'!E22</f>
        <v>13976</v>
      </c>
      <c r="H22" s="17">
        <v>3.1276000000000002</v>
      </c>
      <c r="I22" s="18">
        <v>48694.700000000004</v>
      </c>
    </row>
    <row r="23" spans="1:9">
      <c r="A23" s="16">
        <v>39021</v>
      </c>
      <c r="B23" s="17">
        <f>Inflation!C23</f>
        <v>101.2</v>
      </c>
      <c r="C23" s="17">
        <f>LOOKUP(A23,inrtpl_m_m[Data],inrtpl_m_m[Zamkniecie2])</f>
        <v>4</v>
      </c>
      <c r="D23" s="14">
        <v>459026.73</v>
      </c>
      <c r="E23" s="17">
        <f>'Industry Production'!C23</f>
        <v>104.3</v>
      </c>
      <c r="F23" s="17">
        <f>'Import Export'!D23</f>
        <v>19984.900000000001</v>
      </c>
      <c r="G23" s="17">
        <f>'Import Export'!E23</f>
        <v>14748.1</v>
      </c>
      <c r="H23" s="17">
        <v>3.0285000000000002</v>
      </c>
      <c r="I23" s="18">
        <v>47175.100000000006</v>
      </c>
    </row>
    <row r="24" spans="1:9">
      <c r="A24" s="16">
        <v>39051</v>
      </c>
      <c r="B24" s="17">
        <f>Inflation!C24</f>
        <v>101.4</v>
      </c>
      <c r="C24" s="17">
        <f>LOOKUP(A24,inrtpl_m_m[Data],inrtpl_m_m[Zamkniecie2])</f>
        <v>4</v>
      </c>
      <c r="D24" s="14">
        <v>466057.04399999999</v>
      </c>
      <c r="E24" s="17">
        <f>'Industry Production'!C24</f>
        <v>97.5</v>
      </c>
      <c r="F24" s="17">
        <f>'Import Export'!D24</f>
        <v>17776</v>
      </c>
      <c r="G24" s="17">
        <f>'Import Export'!E24</f>
        <v>12699.6</v>
      </c>
      <c r="H24" s="17">
        <v>2.8761000000000001</v>
      </c>
      <c r="I24" s="18">
        <v>49483.200000000004</v>
      </c>
    </row>
    <row r="25" spans="1:9">
      <c r="A25" s="16">
        <v>39082</v>
      </c>
      <c r="B25" s="17">
        <f>Inflation!C25</f>
        <v>101.4</v>
      </c>
      <c r="C25" s="17">
        <f>LOOKUP(A25,inrtpl_m_m[Data],inrtpl_m_m[Zamkniecie2])</f>
        <v>4</v>
      </c>
      <c r="D25" s="14">
        <v>481210.46600000001</v>
      </c>
      <c r="E25" s="17">
        <f>'Industry Production'!C25</f>
        <v>94.1</v>
      </c>
      <c r="F25" s="17">
        <f>'Import Export'!D25</f>
        <v>15980.4</v>
      </c>
      <c r="G25" s="17">
        <f>'Import Export'!E25</f>
        <v>10656.6</v>
      </c>
      <c r="H25" s="17">
        <v>2.9018000000000002</v>
      </c>
      <c r="I25" s="18">
        <v>48484.3</v>
      </c>
    </row>
    <row r="26" spans="1:9">
      <c r="A26" s="16">
        <v>39113</v>
      </c>
      <c r="B26" s="17">
        <f>Inflation!C26</f>
        <v>101.6</v>
      </c>
      <c r="C26" s="17">
        <f>LOOKUP(A26,inrtpl_m_m[Data],inrtpl_m_m[Zamkniecie2])</f>
        <v>4</v>
      </c>
      <c r="D26" s="14">
        <v>488060.83299999998</v>
      </c>
      <c r="E26" s="17">
        <f>'Industry Production'!C26</f>
        <v>99.9</v>
      </c>
      <c r="F26" s="17">
        <f>'Import Export'!D26</f>
        <v>14823.2</v>
      </c>
      <c r="G26" s="17">
        <f>'Import Export'!E26</f>
        <v>11819.4</v>
      </c>
      <c r="H26" s="17">
        <v>3.0078999999999998</v>
      </c>
      <c r="I26" s="18">
        <v>51211.899999999994</v>
      </c>
    </row>
    <row r="27" spans="1:9">
      <c r="A27" s="16">
        <v>39141</v>
      </c>
      <c r="B27" s="17">
        <f>Inflation!C27</f>
        <v>101.9</v>
      </c>
      <c r="C27" s="17">
        <f>LOOKUP(A27,inrtpl_m_m[Data],inrtpl_m_m[Zamkniecie2])</f>
        <v>4</v>
      </c>
      <c r="D27" s="14">
        <v>495376.46100000001</v>
      </c>
      <c r="E27" s="17">
        <f>'Industry Production'!C27</f>
        <v>97.8</v>
      </c>
      <c r="F27" s="17">
        <f>'Import Export'!D27</f>
        <v>16241.3</v>
      </c>
      <c r="G27" s="17">
        <f>'Import Export'!E27</f>
        <v>11958.4</v>
      </c>
      <c r="H27" s="17">
        <v>2.9689999999999999</v>
      </c>
      <c r="I27" s="18">
        <v>50984.700000000004</v>
      </c>
    </row>
    <row r="28" spans="1:9">
      <c r="A28" s="16">
        <v>39172</v>
      </c>
      <c r="B28" s="17">
        <f>Inflation!C28</f>
        <v>102.5</v>
      </c>
      <c r="C28" s="17">
        <f>LOOKUP(A28,inrtpl_m_m[Data],inrtpl_m_m[Zamkniecie2])</f>
        <v>4</v>
      </c>
      <c r="D28" s="14">
        <v>497294.745</v>
      </c>
      <c r="E28" s="17">
        <f>'Industry Production'!C28</f>
        <v>114.6</v>
      </c>
      <c r="F28" s="17">
        <f>'Import Export'!D28</f>
        <v>17929.400000000001</v>
      </c>
      <c r="G28" s="17">
        <f>'Import Export'!E28</f>
        <v>13443.6</v>
      </c>
      <c r="H28" s="17">
        <v>2.8854000000000002</v>
      </c>
      <c r="I28" s="18">
        <v>50784.7</v>
      </c>
    </row>
    <row r="29" spans="1:9">
      <c r="A29" s="16">
        <v>39202</v>
      </c>
      <c r="B29" s="17">
        <f>Inflation!C29</f>
        <v>102.3</v>
      </c>
      <c r="C29" s="17">
        <f>LOOKUP(A29,inrtpl_m_m[Data],inrtpl_m_m[Zamkniecie2])</f>
        <v>4.25</v>
      </c>
      <c r="D29" s="14">
        <v>502083.30200000003</v>
      </c>
      <c r="E29" s="17">
        <f>'Industry Production'!C29</f>
        <v>91.7</v>
      </c>
      <c r="F29" s="17">
        <f>'Import Export'!D29</f>
        <v>19231.2</v>
      </c>
      <c r="G29" s="17">
        <f>'Import Export'!E29</f>
        <v>13456.6</v>
      </c>
      <c r="H29" s="17">
        <v>2.7719</v>
      </c>
      <c r="I29" s="18">
        <v>52077.899999999994</v>
      </c>
    </row>
    <row r="30" spans="1:9">
      <c r="A30" s="16">
        <v>39233</v>
      </c>
      <c r="B30" s="17">
        <f>Inflation!C30</f>
        <v>102.3</v>
      </c>
      <c r="C30" s="17">
        <f>LOOKUP(A30,inrtpl_m_m[Data],inrtpl_m_m[Zamkniecie2])</f>
        <v>4.25</v>
      </c>
      <c r="D30" s="14">
        <v>504800.53700000001</v>
      </c>
      <c r="E30" s="17">
        <f>'Industry Production'!C30</f>
        <v>102.6</v>
      </c>
      <c r="F30" s="17">
        <f>'Import Export'!D30</f>
        <v>17565.2</v>
      </c>
      <c r="G30" s="17">
        <f>'Import Export'!E30</f>
        <v>12467.8</v>
      </c>
      <c r="H30" s="17">
        <v>2.8357000000000001</v>
      </c>
      <c r="I30" s="18">
        <v>55166.2</v>
      </c>
    </row>
    <row r="31" spans="1:9">
      <c r="A31" s="16">
        <v>39263</v>
      </c>
      <c r="B31" s="17">
        <f>Inflation!C31</f>
        <v>102.6</v>
      </c>
      <c r="C31" s="17">
        <f>LOOKUP(A31,inrtpl_m_m[Data],inrtpl_m_m[Zamkniecie2])</f>
        <v>4.5</v>
      </c>
      <c r="D31" s="14">
        <v>506806.99300000002</v>
      </c>
      <c r="E31" s="17">
        <f>'Industry Production'!C31</f>
        <v>100.1</v>
      </c>
      <c r="F31" s="17">
        <f>'Import Export'!D31</f>
        <v>18453.599999999999</v>
      </c>
      <c r="G31" s="17">
        <f>'Import Export'!E31</f>
        <v>13787</v>
      </c>
      <c r="H31" s="17">
        <v>2.7852000000000001</v>
      </c>
      <c r="I31" s="18">
        <v>54441.1</v>
      </c>
    </row>
    <row r="32" spans="1:9">
      <c r="A32" s="16">
        <v>39294</v>
      </c>
      <c r="B32" s="17">
        <f>Inflation!C32</f>
        <v>102.3</v>
      </c>
      <c r="C32" s="17">
        <f>LOOKUP(A32,inrtpl_m_m[Data],inrtpl_m_m[Zamkniecie2])</f>
        <v>4.5</v>
      </c>
      <c r="D32" s="14">
        <v>511540.90600000002</v>
      </c>
      <c r="E32" s="17">
        <f>'Industry Production'!C32</f>
        <v>98.9</v>
      </c>
      <c r="F32" s="17">
        <f>'Import Export'!D32</f>
        <v>20387.599999999999</v>
      </c>
      <c r="G32" s="17">
        <f>'Import Export'!E32</f>
        <v>14428.1</v>
      </c>
      <c r="H32" s="17">
        <v>2.7667000000000002</v>
      </c>
      <c r="I32" s="18">
        <v>56095.899999999994</v>
      </c>
    </row>
    <row r="33" spans="1:9">
      <c r="A33" s="16">
        <v>39325</v>
      </c>
      <c r="B33" s="17">
        <f>Inflation!C33</f>
        <v>101.5</v>
      </c>
      <c r="C33" s="17">
        <f>LOOKUP(A33,inrtpl_m_m[Data],inrtpl_m_m[Zamkniecie2])</f>
        <v>4.75</v>
      </c>
      <c r="D33" s="14">
        <v>521751.55</v>
      </c>
      <c r="E33" s="17">
        <f>'Industry Production'!C33</f>
        <v>100.1</v>
      </c>
      <c r="F33" s="17">
        <f>'Import Export'!D33</f>
        <v>17997.8</v>
      </c>
      <c r="G33" s="17">
        <f>'Import Export'!E33</f>
        <v>13967.5</v>
      </c>
      <c r="H33" s="17">
        <v>2.8058999999999998</v>
      </c>
      <c r="I33" s="18">
        <v>56213.500000000007</v>
      </c>
    </row>
    <row r="34" spans="1:9">
      <c r="A34" s="16">
        <v>39355</v>
      </c>
      <c r="B34" s="17">
        <f>Inflation!C34</f>
        <v>102.3</v>
      </c>
      <c r="C34" s="17">
        <f>LOOKUP(A34,inrtpl_m_m[Data],inrtpl_m_m[Zamkniecie2])</f>
        <v>4.75</v>
      </c>
      <c r="D34" s="14">
        <v>523462.95600000001</v>
      </c>
      <c r="E34" s="17">
        <f>'Industry Production'!C34</f>
        <v>105.6</v>
      </c>
      <c r="F34" s="17">
        <f>'Import Export'!D34</f>
        <v>20205.099999999999</v>
      </c>
      <c r="G34" s="17">
        <f>'Import Export'!E34</f>
        <v>15314.8</v>
      </c>
      <c r="H34" s="17">
        <v>2.6495000000000002</v>
      </c>
      <c r="I34" s="18">
        <v>58311.5</v>
      </c>
    </row>
    <row r="35" spans="1:9">
      <c r="A35" s="16">
        <v>39386</v>
      </c>
      <c r="B35" s="17">
        <f>Inflation!C35</f>
        <v>103</v>
      </c>
      <c r="C35" s="17">
        <f>LOOKUP(A35,inrtpl_m_m[Data],inrtpl_m_m[Zamkniecie2])</f>
        <v>4.75</v>
      </c>
      <c r="D35" s="14">
        <v>527874.01899999997</v>
      </c>
      <c r="E35" s="17">
        <f>'Industry Production'!C35</f>
        <v>109.7</v>
      </c>
      <c r="F35" s="17">
        <f>'Import Export'!D35</f>
        <v>22304.7</v>
      </c>
      <c r="G35" s="17">
        <f>'Import Export'!E35</f>
        <v>17530.2</v>
      </c>
      <c r="H35" s="17">
        <v>2.508</v>
      </c>
      <c r="I35" s="18">
        <v>60128.9</v>
      </c>
    </row>
    <row r="36" spans="1:9">
      <c r="A36" s="16">
        <v>39416</v>
      </c>
      <c r="B36" s="17">
        <f>Inflation!C36</f>
        <v>103.6</v>
      </c>
      <c r="C36" s="17">
        <f>LOOKUP(A36,inrtpl_m_m[Data],inrtpl_m_m[Zamkniecie2])</f>
        <v>5</v>
      </c>
      <c r="D36" s="14">
        <v>536088.88699999999</v>
      </c>
      <c r="E36" s="17">
        <f>'Industry Production'!C36</f>
        <v>95.3</v>
      </c>
      <c r="F36" s="17">
        <f>'Import Export'!D36</f>
        <v>20389.099999999999</v>
      </c>
      <c r="G36" s="17">
        <f>'Import Export'!E36</f>
        <v>15434.9</v>
      </c>
      <c r="H36" s="17">
        <v>2.4567999999999999</v>
      </c>
      <c r="I36" s="18">
        <v>68218.2</v>
      </c>
    </row>
    <row r="37" spans="1:9">
      <c r="A37" s="16">
        <v>39447</v>
      </c>
      <c r="B37" s="17">
        <f>Inflation!C37</f>
        <v>104</v>
      </c>
      <c r="C37" s="17">
        <f>LOOKUP(A37,inrtpl_m_m[Data],inrtpl_m_m[Zamkniecie2])</f>
        <v>5</v>
      </c>
      <c r="D37" s="14">
        <v>549344.29099999997</v>
      </c>
      <c r="E37" s="17">
        <f>'Industry Production'!C37</f>
        <v>91.7</v>
      </c>
      <c r="F37" s="17">
        <f>'Import Export'!D37</f>
        <v>19287.599999999999</v>
      </c>
      <c r="G37" s="17">
        <f>'Import Export'!E37</f>
        <v>13729.8</v>
      </c>
      <c r="H37" s="17">
        <v>2.4464999999999999</v>
      </c>
      <c r="I37" s="18">
        <v>65745.400000000009</v>
      </c>
    </row>
    <row r="38" spans="1:9">
      <c r="A38" s="16">
        <v>39478</v>
      </c>
      <c r="B38" s="17">
        <f>Inflation!C38</f>
        <v>104</v>
      </c>
      <c r="C38" s="17">
        <f>LOOKUP(A38,inrtpl_m_m[Data],inrtpl_m_m[Zamkniecie2])</f>
        <v>5.25</v>
      </c>
      <c r="D38" s="14">
        <v>556007.73199999996</v>
      </c>
      <c r="E38" s="17">
        <f>'Industry Production'!C38</f>
        <v>104.4</v>
      </c>
      <c r="F38" s="17">
        <f>'Import Export'!D38</f>
        <v>17924.3</v>
      </c>
      <c r="G38" s="17">
        <f>'Import Export'!E38</f>
        <v>13850.5</v>
      </c>
      <c r="H38" s="17">
        <v>2.4312</v>
      </c>
      <c r="I38" s="18">
        <v>68564.399999999994</v>
      </c>
    </row>
    <row r="39" spans="1:9">
      <c r="A39" s="16">
        <v>39507</v>
      </c>
      <c r="B39" s="17">
        <f>Inflation!C39</f>
        <v>104.2</v>
      </c>
      <c r="C39" s="17">
        <f>LOOKUP(A39,inrtpl_m_m[Data],inrtpl_m_m[Zamkniecie2])</f>
        <v>5.5</v>
      </c>
      <c r="D39" s="14">
        <v>565581.99699999997</v>
      </c>
      <c r="E39" s="17">
        <f>'Industry Production'!C39</f>
        <v>101.5</v>
      </c>
      <c r="F39" s="17">
        <f>'Import Export'!D39</f>
        <v>18644.400000000001</v>
      </c>
      <c r="G39" s="17">
        <f>'Import Export'!E39</f>
        <v>14603.6</v>
      </c>
      <c r="H39" s="17">
        <v>2.3123</v>
      </c>
      <c r="I39" s="18">
        <v>72505</v>
      </c>
    </row>
    <row r="40" spans="1:9">
      <c r="A40" s="16">
        <v>39538</v>
      </c>
      <c r="B40" s="17">
        <f>Inflation!C40</f>
        <v>104.1</v>
      </c>
      <c r="C40" s="17">
        <f>LOOKUP(A40,inrtpl_m_m[Data],inrtpl_m_m[Zamkniecie2])</f>
        <v>5.75</v>
      </c>
      <c r="D40" s="14">
        <v>570176.45400000003</v>
      </c>
      <c r="E40" s="17">
        <f>'Industry Production'!C40</f>
        <v>100.7</v>
      </c>
      <c r="F40" s="17">
        <f>'Import Export'!D40</f>
        <v>21774.3</v>
      </c>
      <c r="G40" s="17">
        <f>'Import Export'!E40</f>
        <v>17026.400000000001</v>
      </c>
      <c r="H40" s="17">
        <v>2.2265999999999999</v>
      </c>
      <c r="I40" s="18">
        <v>76965.600000000006</v>
      </c>
    </row>
    <row r="41" spans="1:9">
      <c r="A41" s="16">
        <v>39568</v>
      </c>
      <c r="B41" s="17">
        <f>Inflation!C41</f>
        <v>104</v>
      </c>
      <c r="C41" s="17">
        <f>LOOKUP(A41,inrtpl_m_m[Data],inrtpl_m_m[Zamkniecie2])</f>
        <v>5.75</v>
      </c>
      <c r="D41" s="14">
        <v>581982.67299999995</v>
      </c>
      <c r="E41" s="17">
        <f>'Industry Production'!C41</f>
        <v>104.1</v>
      </c>
      <c r="F41" s="17">
        <f>'Import Export'!D41</f>
        <v>21562.3</v>
      </c>
      <c r="G41" s="17">
        <f>'Import Export'!E41</f>
        <v>16899.599999999999</v>
      </c>
      <c r="H41" s="17">
        <v>2.2151999999999998</v>
      </c>
      <c r="I41" s="18">
        <v>79084.100000000006</v>
      </c>
    </row>
    <row r="42" spans="1:9">
      <c r="A42" s="16">
        <v>39599</v>
      </c>
      <c r="B42" s="17">
        <f>Inflation!C42</f>
        <v>104.4</v>
      </c>
      <c r="C42" s="17">
        <f>LOOKUP(A42,inrtpl_m_m[Data],inrtpl_m_m[Zamkniecie2])</f>
        <v>5.75</v>
      </c>
      <c r="D42" s="14">
        <v>589308.47699999996</v>
      </c>
      <c r="E42" s="17">
        <f>'Industry Production'!C42</f>
        <v>90.9</v>
      </c>
      <c r="F42" s="17">
        <f>'Import Export'!D42</f>
        <v>21163.4</v>
      </c>
      <c r="G42" s="17">
        <f>'Import Export'!E42</f>
        <v>16547.599999999999</v>
      </c>
      <c r="H42" s="17">
        <v>2.1686000000000001</v>
      </c>
      <c r="I42" s="18">
        <v>78900.5</v>
      </c>
    </row>
    <row r="43" spans="1:9">
      <c r="A43" s="16">
        <v>39629</v>
      </c>
      <c r="B43" s="17">
        <f>Inflation!C43</f>
        <v>104.6</v>
      </c>
      <c r="C43" s="17">
        <f>LOOKUP(A43,inrtpl_m_m[Data],inrtpl_m_m[Zamkniecie2])</f>
        <v>6</v>
      </c>
      <c r="D43" s="14">
        <v>595558.24199999997</v>
      </c>
      <c r="E43" s="17">
        <f>'Industry Production'!C43</f>
        <v>105.2</v>
      </c>
      <c r="F43" s="17">
        <f>'Import Export'!D43</f>
        <v>20456.7</v>
      </c>
      <c r="G43" s="17">
        <f>'Import Export'!E43</f>
        <v>16658.099999999999</v>
      </c>
      <c r="H43" s="17">
        <v>2.1293000000000002</v>
      </c>
      <c r="I43" s="18">
        <v>82544.100000000006</v>
      </c>
    </row>
    <row r="44" spans="1:9">
      <c r="A44" s="16">
        <v>39660</v>
      </c>
      <c r="B44" s="17">
        <f>Inflation!C44</f>
        <v>104.8</v>
      </c>
      <c r="C44" s="17">
        <f>LOOKUP(A44,inrtpl_m_m[Data],inrtpl_m_m[Zamkniecie2])</f>
        <v>6</v>
      </c>
      <c r="D44" s="14">
        <v>605561.12600000005</v>
      </c>
      <c r="E44" s="17">
        <f>'Industry Production'!C44</f>
        <v>97.3</v>
      </c>
      <c r="F44" s="17">
        <f>'Import Export'!D44</f>
        <v>23832.9</v>
      </c>
      <c r="G44" s="17">
        <f>'Import Export'!E44</f>
        <v>17847.2</v>
      </c>
      <c r="H44" s="17">
        <v>2.0602999999999998</v>
      </c>
      <c r="I44" s="18">
        <v>84961.2</v>
      </c>
    </row>
    <row r="45" spans="1:9">
      <c r="A45" s="16">
        <v>39691</v>
      </c>
      <c r="B45" s="17">
        <f>Inflation!C45</f>
        <v>104.8</v>
      </c>
      <c r="C45" s="17">
        <f>LOOKUP(A45,inrtpl_m_m[Data],inrtpl_m_m[Zamkniecie2])</f>
        <v>6</v>
      </c>
      <c r="D45" s="14">
        <v>614791.02899999998</v>
      </c>
      <c r="E45" s="17">
        <f>'Industry Production'!C45</f>
        <v>91.2</v>
      </c>
      <c r="F45" s="17">
        <f>'Import Export'!D45</f>
        <v>19984.900000000001</v>
      </c>
      <c r="G45" s="17">
        <f>'Import Export'!E45</f>
        <v>15639.7</v>
      </c>
      <c r="H45" s="17">
        <v>2.2742</v>
      </c>
      <c r="I45" s="18">
        <v>81599.399999999994</v>
      </c>
    </row>
    <row r="46" spans="1:9">
      <c r="A46" s="16">
        <v>39721</v>
      </c>
      <c r="B46" s="17">
        <f>Inflation!C46</f>
        <v>104.5</v>
      </c>
      <c r="C46" s="17">
        <f>LOOKUP(A46,inrtpl_m_m[Data],inrtpl_m_m[Zamkniecie2])</f>
        <v>6</v>
      </c>
      <c r="D46" s="14">
        <v>619703.1</v>
      </c>
      <c r="E46" s="17">
        <f>'Industry Production'!C46</f>
        <v>116.6</v>
      </c>
      <c r="F46" s="17">
        <f>'Import Export'!D46</f>
        <v>24857.5</v>
      </c>
      <c r="G46" s="17">
        <f>'Import Export'!E46</f>
        <v>20195.8</v>
      </c>
      <c r="H46" s="17">
        <v>2.4161000000000001</v>
      </c>
      <c r="I46" s="18">
        <v>74226.100000000006</v>
      </c>
    </row>
    <row r="47" spans="1:9">
      <c r="A47" s="16">
        <v>39752</v>
      </c>
      <c r="B47" s="17">
        <f>Inflation!C47</f>
        <v>104.2</v>
      </c>
      <c r="C47" s="17">
        <f>LOOKUP(A47,inrtpl_m_m[Data],inrtpl_m_m[Zamkniecie2])</f>
        <v>6</v>
      </c>
      <c r="D47" s="14">
        <v>627470.86899999995</v>
      </c>
      <c r="E47" s="17">
        <f>'Industry Production'!C47</f>
        <v>101.9</v>
      </c>
      <c r="F47" s="17">
        <f>'Import Export'!D47</f>
        <v>26061.200000000001</v>
      </c>
      <c r="G47" s="17">
        <f>'Import Export'!E47</f>
        <v>21476.5</v>
      </c>
      <c r="H47" s="17">
        <v>2.7542</v>
      </c>
      <c r="I47" s="18">
        <v>63847</v>
      </c>
    </row>
    <row r="48" spans="1:9">
      <c r="A48" s="16">
        <v>39782</v>
      </c>
      <c r="B48" s="17">
        <f>Inflation!C48</f>
        <v>103.7</v>
      </c>
      <c r="C48" s="17">
        <f>LOOKUP(A48,inrtpl_m_m[Data],inrtpl_m_m[Zamkniecie2])</f>
        <v>5.75</v>
      </c>
      <c r="D48" s="14">
        <v>639993.54200000002</v>
      </c>
      <c r="E48" s="17">
        <f>'Industry Production'!C48</f>
        <v>86.9</v>
      </c>
      <c r="F48" s="17">
        <f>'Import Export'!D48</f>
        <v>24166.5</v>
      </c>
      <c r="G48" s="17">
        <f>'Import Export'!E48</f>
        <v>19565.8</v>
      </c>
      <c r="H48" s="17">
        <v>2.9718</v>
      </c>
      <c r="I48" s="18">
        <v>63392</v>
      </c>
    </row>
    <row r="49" spans="1:9">
      <c r="A49" s="16">
        <v>39813</v>
      </c>
      <c r="B49" s="17">
        <f>Inflation!C49</f>
        <v>103.3</v>
      </c>
      <c r="C49" s="17">
        <f>LOOKUP(A49,inrtpl_m_m[Data],inrtpl_m_m[Zamkniecie2])</f>
        <v>5</v>
      </c>
      <c r="D49" s="14">
        <v>660239.87600000005</v>
      </c>
      <c r="E49" s="17">
        <f>'Industry Production'!C49</f>
        <v>96.9</v>
      </c>
      <c r="F49" s="17">
        <f>'Import Export'!D49</f>
        <v>24705.1</v>
      </c>
      <c r="G49" s="17">
        <f>'Import Export'!E49</f>
        <v>18633.5</v>
      </c>
      <c r="H49" s="17">
        <v>2.9382999999999999</v>
      </c>
      <c r="I49" s="18">
        <v>62180.100000000006</v>
      </c>
    </row>
    <row r="50" spans="1:9">
      <c r="A50" s="16">
        <v>39844</v>
      </c>
      <c r="B50" s="17">
        <f>Inflation!C50</f>
        <v>102.8</v>
      </c>
      <c r="C50" s="17">
        <f>LOOKUP(A50,inrtpl_m_m[Data],inrtpl_m_m[Zamkniecie2])</f>
        <v>4.25</v>
      </c>
      <c r="D50" s="14">
        <v>663027.98600000003</v>
      </c>
      <c r="E50" s="17">
        <f>'Industry Production'!C50</f>
        <v>93.7</v>
      </c>
      <c r="F50" s="17">
        <f>'Import Export'!D50</f>
        <v>21723.1</v>
      </c>
      <c r="G50" s="17">
        <f>'Import Export'!E50</f>
        <v>18319.8</v>
      </c>
      <c r="H50" s="17">
        <v>3.4706000000000001</v>
      </c>
      <c r="I50" s="18">
        <v>59251.7</v>
      </c>
    </row>
    <row r="51" spans="1:9">
      <c r="A51" s="16">
        <v>39872</v>
      </c>
      <c r="B51" s="17">
        <f>Inflation!C51</f>
        <v>103.3</v>
      </c>
      <c r="C51" s="17">
        <f>LOOKUP(A51,inrtpl_m_m[Data],inrtpl_m_m[Zamkniecie2])</f>
        <v>4</v>
      </c>
      <c r="D51" s="14">
        <v>674154.74800000002</v>
      </c>
      <c r="E51" s="17">
        <f>'Industry Production'!C51</f>
        <v>102.4</v>
      </c>
      <c r="F51" s="17">
        <f>'Import Export'!D51</f>
        <v>22557.599999999999</v>
      </c>
      <c r="G51" s="17">
        <f>'Import Export'!E51</f>
        <v>20376.3</v>
      </c>
      <c r="H51" s="17">
        <v>3.6587999999999998</v>
      </c>
      <c r="I51" s="18">
        <v>61895.7</v>
      </c>
    </row>
    <row r="52" spans="1:9">
      <c r="A52" s="16">
        <v>39903</v>
      </c>
      <c r="B52" s="17">
        <f>Inflation!C52</f>
        <v>103.6</v>
      </c>
      <c r="C52" s="17">
        <f>LOOKUP(A52,inrtpl_m_m[Data],inrtpl_m_m[Zamkniecie2])</f>
        <v>3.75</v>
      </c>
      <c r="D52" s="14">
        <v>678861.29299999995</v>
      </c>
      <c r="E52" s="17">
        <f>'Industry Production'!C52</f>
        <v>115.6</v>
      </c>
      <c r="F52" s="17">
        <f>'Import Export'!D52</f>
        <v>29929.7</v>
      </c>
      <c r="G52" s="17">
        <f>'Import Export'!E52</f>
        <v>24302</v>
      </c>
      <c r="H52" s="17">
        <v>3.5139</v>
      </c>
      <c r="I52" s="18">
        <v>61251</v>
      </c>
    </row>
    <row r="53" spans="1:9">
      <c r="A53" s="16">
        <v>39933</v>
      </c>
      <c r="B53" s="17">
        <f>Inflation!C53</f>
        <v>104</v>
      </c>
      <c r="C53" s="17">
        <f>LOOKUP(A53,inrtpl_m_m[Data],inrtpl_m_m[Zamkniecie2])</f>
        <v>3.75</v>
      </c>
      <c r="D53" s="14">
        <v>675202.14899999998</v>
      </c>
      <c r="E53" s="17">
        <f>'Industry Production'!C53</f>
        <v>93.1</v>
      </c>
      <c r="F53" s="17">
        <f>'Import Export'!D53</f>
        <v>33166.9</v>
      </c>
      <c r="G53" s="17">
        <f>'Import Export'!E53</f>
        <v>23908.799999999999</v>
      </c>
      <c r="H53" s="17">
        <v>3.3454999999999999</v>
      </c>
      <c r="I53" s="18">
        <v>64088.600000000006</v>
      </c>
    </row>
    <row r="54" spans="1:9">
      <c r="A54" s="16">
        <v>39964</v>
      </c>
      <c r="B54" s="17">
        <f>Inflation!C54</f>
        <v>103.6</v>
      </c>
      <c r="C54" s="17">
        <f>LOOKUP(A54,inrtpl_m_m[Data],inrtpl_m_m[Zamkniecie2])</f>
        <v>3.75</v>
      </c>
      <c r="D54" s="14">
        <v>680445.21699999995</v>
      </c>
      <c r="E54" s="17">
        <f>'Industry Production'!C54</f>
        <v>98.2</v>
      </c>
      <c r="F54" s="17">
        <f>'Import Export'!D54</f>
        <v>27217.4</v>
      </c>
      <c r="G54" s="17">
        <f>'Import Export'!E54</f>
        <v>22031</v>
      </c>
      <c r="H54" s="17">
        <v>3.1928000000000001</v>
      </c>
      <c r="I54" s="18">
        <v>67906.5</v>
      </c>
    </row>
    <row r="55" spans="1:9">
      <c r="A55" s="16">
        <v>39994</v>
      </c>
      <c r="B55" s="17">
        <f>Inflation!C55</f>
        <v>103.5</v>
      </c>
      <c r="C55" s="17">
        <f>LOOKUP(A55,inrtpl_m_m[Data],inrtpl_m_m[Zamkniecie2])</f>
        <v>3.5</v>
      </c>
      <c r="D55" s="14">
        <v>687454.58499999996</v>
      </c>
      <c r="E55" s="17">
        <f>'Industry Production'!C55</f>
        <v>106</v>
      </c>
      <c r="F55" s="17">
        <f>'Import Export'!D55</f>
        <v>28150.5</v>
      </c>
      <c r="G55" s="17">
        <f>'Import Export'!E55</f>
        <v>23483.200000000001</v>
      </c>
      <c r="H55" s="17">
        <v>3.1720000000000002</v>
      </c>
      <c r="I55" s="18">
        <v>67118.7</v>
      </c>
    </row>
    <row r="56" spans="1:9">
      <c r="A56" s="16">
        <v>40025</v>
      </c>
      <c r="B56" s="17">
        <f>Inflation!C56</f>
        <v>103.6</v>
      </c>
      <c r="C56" s="17">
        <f>LOOKUP(A56,inrtpl_m_m[Data],inrtpl_m_m[Zamkniecie2])</f>
        <v>3.5</v>
      </c>
      <c r="D56" s="14">
        <v>682404.83299999998</v>
      </c>
      <c r="E56" s="17">
        <f>'Industry Production'!C56</f>
        <v>97.4</v>
      </c>
      <c r="F56" s="17">
        <f>'Import Export'!D56</f>
        <v>26751.200000000001</v>
      </c>
      <c r="G56" s="17">
        <f>'Import Export'!E56</f>
        <v>21976.7</v>
      </c>
      <c r="H56" s="17">
        <v>2.9079000000000002</v>
      </c>
      <c r="I56" s="18">
        <v>71527.799999999988</v>
      </c>
    </row>
    <row r="57" spans="1:9">
      <c r="A57" s="16">
        <v>40056</v>
      </c>
      <c r="B57" s="17">
        <f>Inflation!C57</f>
        <v>103.7</v>
      </c>
      <c r="C57" s="17">
        <f>LOOKUP(A57,inrtpl_m_m[Data],inrtpl_m_m[Zamkniecie2])</f>
        <v>3.5</v>
      </c>
      <c r="D57" s="14">
        <v>678889.77399999998</v>
      </c>
      <c r="E57" s="17">
        <f>'Industry Production'!C57</f>
        <v>95.6</v>
      </c>
      <c r="F57" s="17">
        <f>'Import Export'!D57</f>
        <v>24990.5</v>
      </c>
      <c r="G57" s="17">
        <f>'Import Export'!E57</f>
        <v>21180</v>
      </c>
      <c r="H57" s="17">
        <v>2.8525999999999998</v>
      </c>
      <c r="I57" s="18">
        <v>75817.399999999994</v>
      </c>
    </row>
    <row r="58" spans="1:9">
      <c r="A58" s="16">
        <v>40086</v>
      </c>
      <c r="B58" s="17">
        <f>Inflation!C58</f>
        <v>103.4</v>
      </c>
      <c r="C58" s="17">
        <f>LOOKUP(A58,inrtpl_m_m[Data],inrtpl_m_m[Zamkniecie2])</f>
        <v>3.5</v>
      </c>
      <c r="D58" s="14">
        <v>685513.76399999997</v>
      </c>
      <c r="E58" s="17">
        <f>'Industry Production'!C58</f>
        <v>115</v>
      </c>
      <c r="F58" s="17">
        <f>'Import Export'!D58</f>
        <v>29481.4</v>
      </c>
      <c r="G58" s="17">
        <f>'Import Export'!E58</f>
        <v>25557.599999999999</v>
      </c>
      <c r="H58" s="17">
        <v>2.8691</v>
      </c>
      <c r="I58" s="18">
        <v>78164.599999999991</v>
      </c>
    </row>
    <row r="59" spans="1:9">
      <c r="A59" s="16">
        <v>40117</v>
      </c>
      <c r="B59" s="17">
        <f>Inflation!C59</f>
        <v>103.1</v>
      </c>
      <c r="C59" s="17">
        <f>LOOKUP(A59,inrtpl_m_m[Data],inrtpl_m_m[Zamkniecie2])</f>
        <v>3.5</v>
      </c>
      <c r="D59" s="14">
        <v>698940.69900000002</v>
      </c>
      <c r="E59" s="17">
        <f>'Industry Production'!C59</f>
        <v>101.9</v>
      </c>
      <c r="F59" s="17">
        <f>'Import Export'!D59</f>
        <v>28315.3</v>
      </c>
      <c r="G59" s="17">
        <f>'Import Export'!E59</f>
        <v>25024.3</v>
      </c>
      <c r="H59" s="17">
        <v>2.8858999999999999</v>
      </c>
      <c r="I59" s="18">
        <v>83677.5</v>
      </c>
    </row>
    <row r="60" spans="1:9">
      <c r="A60" s="16">
        <v>40147</v>
      </c>
      <c r="B60" s="17">
        <f>Inflation!C60</f>
        <v>103.3</v>
      </c>
      <c r="C60" s="17">
        <f>LOOKUP(A60,inrtpl_m_m[Data],inrtpl_m_m[Zamkniecie2])</f>
        <v>3.5</v>
      </c>
      <c r="D60" s="14">
        <v>694897.35600000003</v>
      </c>
      <c r="E60" s="17">
        <f>'Industry Production'!C60</f>
        <v>96.8</v>
      </c>
      <c r="F60" s="17">
        <f>'Import Export'!D60</f>
        <v>27767.7</v>
      </c>
      <c r="G60" s="17">
        <f>'Import Export'!E60</f>
        <v>24777.3</v>
      </c>
      <c r="H60" s="17">
        <v>2.7789999999999999</v>
      </c>
      <c r="I60" s="18">
        <v>85100.3</v>
      </c>
    </row>
    <row r="61" spans="1:9">
      <c r="A61" s="16">
        <v>40178</v>
      </c>
      <c r="B61" s="17">
        <f>Inflation!C61</f>
        <v>103.5</v>
      </c>
      <c r="C61" s="17">
        <f>LOOKUP(A61,inrtpl_m_m[Data],inrtpl_m_m[Zamkniecie2])</f>
        <v>3.5</v>
      </c>
      <c r="D61" s="14">
        <v>714757.821</v>
      </c>
      <c r="E61" s="17">
        <f>'Industry Production'!C61</f>
        <v>94.6</v>
      </c>
      <c r="F61" s="17">
        <f>'Import Export'!D61</f>
        <v>25545</v>
      </c>
      <c r="G61" s="17">
        <f>'Import Export'!E61</f>
        <v>21165.4</v>
      </c>
      <c r="H61" s="17">
        <v>2.8601999999999999</v>
      </c>
      <c r="I61" s="18">
        <v>79591.299999999988</v>
      </c>
    </row>
    <row r="62" spans="1:9">
      <c r="A62" s="16">
        <v>40209</v>
      </c>
      <c r="B62" s="17">
        <f>Inflation!C62</f>
        <v>103.5</v>
      </c>
      <c r="C62" s="17">
        <f>LOOKUP(A62,inrtpl_m_m[Data],inrtpl_m_m[Zamkniecie2])</f>
        <v>3.5</v>
      </c>
      <c r="D62" s="14">
        <v>705346.04700000002</v>
      </c>
      <c r="E62" s="17">
        <f>'Industry Production'!C62</f>
        <v>94.6</v>
      </c>
      <c r="F62" s="17">
        <f>'Import Export'!D62</f>
        <v>23019.5</v>
      </c>
      <c r="G62" s="17">
        <f>'Import Export'!E62</f>
        <v>21225.7</v>
      </c>
      <c r="H62" s="17">
        <v>2.9068999999999998</v>
      </c>
      <c r="I62" s="18">
        <v>85087</v>
      </c>
    </row>
    <row r="63" spans="1:9">
      <c r="A63" s="16">
        <v>40237</v>
      </c>
      <c r="B63" s="17">
        <f>Inflation!C63</f>
        <v>102.9</v>
      </c>
      <c r="C63" s="17">
        <f>LOOKUP(A63,inrtpl_m_m[Data],inrtpl_m_m[Zamkniecie2])</f>
        <v>3.5</v>
      </c>
      <c r="D63" s="14">
        <v>711014.14300000004</v>
      </c>
      <c r="E63" s="17">
        <f>'Industry Production'!C63</f>
        <v>103.1</v>
      </c>
      <c r="F63" s="17">
        <f>'Import Export'!D63</f>
        <v>23886.799999999999</v>
      </c>
      <c r="G63" s="17">
        <f>'Import Export'!E63</f>
        <v>21469.1</v>
      </c>
      <c r="H63" s="17">
        <v>2.9007999999999998</v>
      </c>
      <c r="I63" s="18">
        <v>85143.699999999983</v>
      </c>
    </row>
    <row r="64" spans="1:9">
      <c r="A64" s="16">
        <v>40268</v>
      </c>
      <c r="B64" s="17">
        <f>Inflation!C64</f>
        <v>102.6</v>
      </c>
      <c r="C64" s="17">
        <f>LOOKUP(A64,inrtpl_m_m[Data],inrtpl_m_m[Zamkniecie2])</f>
        <v>3.5</v>
      </c>
      <c r="D64" s="14">
        <v>712761.51899999997</v>
      </c>
      <c r="E64" s="17">
        <f>'Industry Production'!C64</f>
        <v>119.1</v>
      </c>
      <c r="F64" s="17">
        <f>'Import Export'!D64</f>
        <v>26862.2</v>
      </c>
      <c r="G64" s="17">
        <f>'Import Export'!E64</f>
        <v>23226.400000000001</v>
      </c>
      <c r="H64" s="17">
        <v>2.8492000000000002</v>
      </c>
      <c r="I64" s="18">
        <v>85232.1</v>
      </c>
    </row>
    <row r="65" spans="1:9">
      <c r="A65" s="16">
        <v>40298</v>
      </c>
      <c r="B65" s="17">
        <f>Inflation!C65</f>
        <v>102.4</v>
      </c>
      <c r="C65" s="17">
        <f>LOOKUP(A65,inrtpl_m_m[Data],inrtpl_m_m[Zamkniecie2])</f>
        <v>3.5</v>
      </c>
      <c r="D65" s="14">
        <v>713066.93799999997</v>
      </c>
      <c r="E65" s="17">
        <f>'Industry Production'!C65</f>
        <v>90.8</v>
      </c>
      <c r="F65" s="17">
        <f>'Import Export'!D65</f>
        <v>27559.9</v>
      </c>
      <c r="G65" s="17">
        <f>'Import Export'!E65</f>
        <v>24603.599999999999</v>
      </c>
      <c r="H65" s="17">
        <v>2.9546999999999999</v>
      </c>
      <c r="I65" s="18">
        <v>88576.8</v>
      </c>
    </row>
    <row r="66" spans="1:9">
      <c r="A66" s="16">
        <v>40329</v>
      </c>
      <c r="B66" s="17">
        <f>Inflation!C66</f>
        <v>102.2</v>
      </c>
      <c r="C66" s="17">
        <f>LOOKUP(A66,inrtpl_m_m[Data],inrtpl_m_m[Zamkniecie2])</f>
        <v>3.5</v>
      </c>
      <c r="D66" s="14">
        <v>730147.68599999999</v>
      </c>
      <c r="E66" s="17">
        <f>'Industry Production'!C66</f>
        <v>101.6</v>
      </c>
      <c r="F66" s="17">
        <f>'Import Export'!D66</f>
        <v>27147.200000000001</v>
      </c>
      <c r="G66" s="17">
        <f>'Import Export'!E66</f>
        <v>22767.8</v>
      </c>
      <c r="H66" s="17">
        <v>3.3121</v>
      </c>
      <c r="I66" s="18">
        <v>86493.3</v>
      </c>
    </row>
    <row r="67" spans="1:9">
      <c r="A67" s="16">
        <v>40359</v>
      </c>
      <c r="B67" s="17">
        <f>Inflation!C67</f>
        <v>102.3</v>
      </c>
      <c r="C67" s="17">
        <f>LOOKUP(A67,inrtpl_m_m[Data],inrtpl_m_m[Zamkniecie2])</f>
        <v>3.5</v>
      </c>
      <c r="D67" s="14">
        <v>736375.59600000002</v>
      </c>
      <c r="E67" s="17">
        <f>'Industry Production'!C67</f>
        <v>106.8</v>
      </c>
      <c r="F67" s="17">
        <f>'Import Export'!D67</f>
        <v>27954.5</v>
      </c>
      <c r="G67" s="17">
        <f>'Import Export'!E67</f>
        <v>25141.9</v>
      </c>
      <c r="H67" s="17">
        <v>3.3696999999999999</v>
      </c>
      <c r="I67" s="18">
        <v>85459.3</v>
      </c>
    </row>
    <row r="68" spans="1:9">
      <c r="A68" s="16">
        <v>40390</v>
      </c>
      <c r="B68" s="17">
        <f>Inflation!C68</f>
        <v>102</v>
      </c>
      <c r="C68" s="17">
        <f>LOOKUP(A68,inrtpl_m_m[Data],inrtpl_m_m[Zamkniecie2])</f>
        <v>3.5</v>
      </c>
      <c r="D68" s="14">
        <v>734376.01599999995</v>
      </c>
      <c r="E68" s="17">
        <f>'Industry Production'!C68</f>
        <v>94.1</v>
      </c>
      <c r="F68" s="17">
        <f>'Import Export'!D68</f>
        <v>26490.400000000001</v>
      </c>
      <c r="G68" s="17">
        <f>'Import Export'!E68</f>
        <v>23104</v>
      </c>
      <c r="H68" s="17">
        <v>3.0672999999999999</v>
      </c>
      <c r="I68" s="18">
        <v>93153.499999999985</v>
      </c>
    </row>
    <row r="69" spans="1:9">
      <c r="A69" s="16">
        <v>40421</v>
      </c>
      <c r="B69" s="17">
        <f>Inflation!C69</f>
        <v>102</v>
      </c>
      <c r="C69" s="17">
        <f>LOOKUP(A69,inrtpl_m_m[Data],inrtpl_m_m[Zamkniecie2])</f>
        <v>3.5</v>
      </c>
      <c r="D69" s="14">
        <v>739043.37800000003</v>
      </c>
      <c r="E69" s="17">
        <f>'Industry Production'!C69</f>
        <v>98.2</v>
      </c>
      <c r="F69" s="17">
        <f>'Import Export'!D69</f>
        <v>26427.8</v>
      </c>
      <c r="G69" s="17">
        <f>'Import Export'!E69</f>
        <v>22588.9</v>
      </c>
      <c r="H69" s="17">
        <v>3.1457999999999999</v>
      </c>
      <c r="I69" s="18">
        <v>93077</v>
      </c>
    </row>
    <row r="70" spans="1:9">
      <c r="A70" s="16">
        <v>40451</v>
      </c>
      <c r="B70" s="17">
        <f>Inflation!C70</f>
        <v>102.5</v>
      </c>
      <c r="C70" s="17">
        <f>LOOKUP(A70,inrtpl_m_m[Data],inrtpl_m_m[Zamkniecie2])</f>
        <v>3.5</v>
      </c>
      <c r="D70" s="14">
        <v>744491.80299999996</v>
      </c>
      <c r="E70" s="17">
        <f>'Industry Production'!C70</f>
        <v>113.1</v>
      </c>
      <c r="F70" s="17">
        <f>'Import Export'!D70</f>
        <v>29625</v>
      </c>
      <c r="G70" s="17">
        <f>'Import Export'!E70</f>
        <v>26180.5</v>
      </c>
      <c r="H70" s="17">
        <v>2.9136000000000002</v>
      </c>
      <c r="I70" s="18">
        <v>98640.400000000009</v>
      </c>
    </row>
    <row r="71" spans="1:9">
      <c r="A71" s="16">
        <v>40482</v>
      </c>
      <c r="B71" s="17">
        <f>Inflation!C71</f>
        <v>102.8</v>
      </c>
      <c r="C71" s="17">
        <f>LOOKUP(A71,inrtpl_m_m[Data],inrtpl_m_m[Zamkniecie2])</f>
        <v>3.5</v>
      </c>
      <c r="D71" s="14">
        <v>748187.11499999999</v>
      </c>
      <c r="E71" s="17">
        <f>'Industry Production'!C71</f>
        <v>98.4</v>
      </c>
      <c r="F71" s="17">
        <f>'Import Export'!D71</f>
        <v>29936.1</v>
      </c>
      <c r="G71" s="17">
        <f>'Import Export'!E71</f>
        <v>27243.5</v>
      </c>
      <c r="H71" s="17">
        <v>2.8462000000000001</v>
      </c>
      <c r="I71" s="18">
        <v>99721.7</v>
      </c>
    </row>
    <row r="72" spans="1:9">
      <c r="A72" s="16">
        <v>40512</v>
      </c>
      <c r="B72" s="17">
        <f>Inflation!C72</f>
        <v>102.7</v>
      </c>
      <c r="C72" s="17">
        <f>LOOKUP(A72,inrtpl_m_m[Data],inrtpl_m_m[Zamkniecie2])</f>
        <v>3.5</v>
      </c>
      <c r="D72" s="14">
        <v>754637.68900000001</v>
      </c>
      <c r="E72" s="17">
        <f>'Industry Production'!C72</f>
        <v>98.6</v>
      </c>
      <c r="F72" s="17">
        <f>'Import Export'!D72</f>
        <v>31081.3</v>
      </c>
      <c r="G72" s="17">
        <f>'Import Export'!E72</f>
        <v>27124.1</v>
      </c>
      <c r="H72" s="17">
        <v>3.0840999999999998</v>
      </c>
      <c r="I72" s="18">
        <v>96563.7</v>
      </c>
    </row>
    <row r="73" spans="1:9">
      <c r="A73" s="16">
        <v>40543</v>
      </c>
      <c r="B73" s="17">
        <f>Inflation!C73</f>
        <v>103.1</v>
      </c>
      <c r="C73" s="17">
        <f>LOOKUP(A73,inrtpl_m_m[Data],inrtpl_m_m[Zamkniecie2])</f>
        <v>3.5</v>
      </c>
      <c r="D73" s="14">
        <v>774657.90399999998</v>
      </c>
      <c r="E73" s="17">
        <f>'Industry Production'!C73</f>
        <v>95.8</v>
      </c>
      <c r="F73" s="17">
        <f>'Import Export'!D73</f>
        <v>28201.3</v>
      </c>
      <c r="G73" s="17">
        <f>'Import Export'!E73</f>
        <v>24105.3</v>
      </c>
      <c r="H73" s="17">
        <v>2.9579</v>
      </c>
      <c r="I73" s="18">
        <v>93514.400000000009</v>
      </c>
    </row>
    <row r="74" spans="1:9">
      <c r="A74" s="16">
        <v>40574</v>
      </c>
      <c r="B74" s="17">
        <f>Inflation!C74</f>
        <v>103.6</v>
      </c>
      <c r="C74" s="17">
        <f>LOOKUP(A74,inrtpl_m_m[Data],inrtpl_m_m[Zamkniecie2])</f>
        <v>3.75</v>
      </c>
      <c r="D74" s="14">
        <v>761148.79599999997</v>
      </c>
      <c r="E74" s="17">
        <f>'Industry Production'!C74</f>
        <v>94.3</v>
      </c>
      <c r="F74" s="17">
        <f>'Import Export'!D74</f>
        <v>27428.1</v>
      </c>
      <c r="G74" s="17">
        <f>'Import Export'!E74</f>
        <v>24577</v>
      </c>
      <c r="H74" s="17">
        <v>2.8677000000000001</v>
      </c>
      <c r="I74" s="18">
        <v>95743.400000000009</v>
      </c>
    </row>
    <row r="75" spans="1:9">
      <c r="A75" s="16">
        <v>40602</v>
      </c>
      <c r="B75" s="17">
        <f>Inflation!C75</f>
        <v>103.6</v>
      </c>
      <c r="C75" s="17">
        <f>LOOKUP(A75,inrtpl_m_m[Data],inrtpl_m_m[Zamkniecie2])</f>
        <v>3.75</v>
      </c>
      <c r="D75" s="14">
        <v>768891.43599999999</v>
      </c>
      <c r="E75" s="17">
        <f>'Industry Production'!C75</f>
        <v>103.3</v>
      </c>
      <c r="F75" s="17">
        <f>'Import Export'!D75</f>
        <v>28094</v>
      </c>
      <c r="G75" s="17">
        <f>'Import Export'!E75</f>
        <v>24983.4</v>
      </c>
      <c r="H75" s="17">
        <v>2.8692000000000002</v>
      </c>
      <c r="I75" s="18">
        <v>103534.20000000001</v>
      </c>
    </row>
    <row r="76" spans="1:9">
      <c r="A76" s="16">
        <v>40633</v>
      </c>
      <c r="B76" s="17">
        <f>Inflation!C76</f>
        <v>104.3</v>
      </c>
      <c r="C76" s="17">
        <f>LOOKUP(A76,inrtpl_m_m[Data],inrtpl_m_m[Zamkniecie2])</f>
        <v>3.75</v>
      </c>
      <c r="D76" s="14">
        <v>792669.57299999997</v>
      </c>
      <c r="E76" s="17">
        <f>'Industry Production'!C76</f>
        <v>114.3</v>
      </c>
      <c r="F76" s="17">
        <f>'Import Export'!D76</f>
        <v>33006.6</v>
      </c>
      <c r="G76" s="17">
        <f>'Import Export'!E76</f>
        <v>29384.799999999999</v>
      </c>
      <c r="H76" s="17">
        <v>2.8386</v>
      </c>
      <c r="I76" s="18">
        <v>106631</v>
      </c>
    </row>
    <row r="77" spans="1:9">
      <c r="A77" s="16">
        <v>40663</v>
      </c>
      <c r="B77" s="17">
        <f>Inflation!C77</f>
        <v>104.5</v>
      </c>
      <c r="C77" s="17">
        <f>LOOKUP(A77,inrtpl_m_m[Data],inrtpl_m_m[Zamkniecie2])</f>
        <v>4</v>
      </c>
      <c r="D77" s="14">
        <v>779152.28700000001</v>
      </c>
      <c r="E77" s="17">
        <f>'Industry Production'!C77</f>
        <v>90.8</v>
      </c>
      <c r="F77" s="17">
        <f>'Import Export'!D77</f>
        <v>29459.599999999999</v>
      </c>
      <c r="G77" s="17">
        <f>'Import Export'!E77</f>
        <v>26564.7</v>
      </c>
      <c r="H77" s="17">
        <v>2.6528</v>
      </c>
      <c r="I77" s="18">
        <v>111988.29999999999</v>
      </c>
    </row>
    <row r="78" spans="1:9">
      <c r="A78" s="16">
        <v>40694</v>
      </c>
      <c r="B78" s="17">
        <f>Inflation!C78</f>
        <v>105</v>
      </c>
      <c r="C78" s="17">
        <f>LOOKUP(A78,inrtpl_m_m[Data],inrtpl_m_m[Zamkniecie2])</f>
        <v>4.25</v>
      </c>
      <c r="D78" s="14">
        <v>783468.52399999998</v>
      </c>
      <c r="E78" s="17">
        <f>'Industry Production'!C78</f>
        <v>102.4</v>
      </c>
      <c r="F78" s="17">
        <f>'Import Export'!D78</f>
        <v>33826.800000000003</v>
      </c>
      <c r="G78" s="17">
        <f>'Import Export'!E78</f>
        <v>28668.5</v>
      </c>
      <c r="H78" s="17">
        <v>2.7490999999999999</v>
      </c>
      <c r="I78" s="18">
        <v>107608.3</v>
      </c>
    </row>
    <row r="79" spans="1:9">
      <c r="A79" s="16">
        <v>40724</v>
      </c>
      <c r="B79" s="17">
        <f>Inflation!C79</f>
        <v>104.2</v>
      </c>
      <c r="C79" s="17">
        <f>LOOKUP(A79,inrtpl_m_m[Data],inrtpl_m_m[Zamkniecie2])</f>
        <v>4.5</v>
      </c>
      <c r="D79" s="14">
        <v>788125.22</v>
      </c>
      <c r="E79" s="17">
        <f>'Industry Production'!C79</f>
        <v>101.1</v>
      </c>
      <c r="F79" s="17">
        <f>'Import Export'!D79</f>
        <v>33354.699999999997</v>
      </c>
      <c r="G79" s="17">
        <f>'Import Export'!E79</f>
        <v>29939.599999999999</v>
      </c>
      <c r="H79" s="17">
        <v>2.742</v>
      </c>
      <c r="I79" s="18">
        <v>109146.20000000001</v>
      </c>
    </row>
    <row r="80" spans="1:9">
      <c r="A80" s="16">
        <v>40755</v>
      </c>
      <c r="B80" s="17">
        <f>Inflation!C80</f>
        <v>104.1</v>
      </c>
      <c r="C80" s="17">
        <f>LOOKUP(A80,inrtpl_m_m[Data],inrtpl_m_m[Zamkniecie2])</f>
        <v>4.5</v>
      </c>
      <c r="D80" s="14">
        <v>787548.05099999998</v>
      </c>
      <c r="E80" s="17">
        <f>'Industry Production'!C80</f>
        <v>94.2</v>
      </c>
      <c r="F80" s="17">
        <f>'Import Export'!D80</f>
        <v>32932.9</v>
      </c>
      <c r="G80" s="17">
        <f>'Import Export'!E80</f>
        <v>27790.1</v>
      </c>
      <c r="H80" s="17">
        <v>2.7824</v>
      </c>
      <c r="I80" s="18">
        <v>106666.7</v>
      </c>
    </row>
    <row r="81" spans="1:9">
      <c r="A81" s="16">
        <v>40786</v>
      </c>
      <c r="B81" s="17">
        <f>Inflation!C81</f>
        <v>104.3</v>
      </c>
      <c r="C81" s="17">
        <f>LOOKUP(A81,inrtpl_m_m[Data],inrtpl_m_m[Zamkniecie2])</f>
        <v>4.5</v>
      </c>
      <c r="D81" s="14">
        <v>800229.72199999995</v>
      </c>
      <c r="E81" s="17">
        <f>'Industry Production'!C81</f>
        <v>104.4</v>
      </c>
      <c r="F81" s="17">
        <f>'Import Export'!D81</f>
        <v>31746.5</v>
      </c>
      <c r="G81" s="17">
        <f>'Import Export'!E81</f>
        <v>27487.599999999999</v>
      </c>
      <c r="H81" s="17">
        <v>2.8645999999999998</v>
      </c>
      <c r="I81" s="18">
        <v>106991.09999999999</v>
      </c>
    </row>
    <row r="82" spans="1:9">
      <c r="A82" s="16">
        <v>40816</v>
      </c>
      <c r="B82" s="17">
        <f>Inflation!C82</f>
        <v>103.9</v>
      </c>
      <c r="C82" s="17">
        <f>LOOKUP(A82,inrtpl_m_m[Data],inrtpl_m_m[Zamkniecie2])</f>
        <v>4.5</v>
      </c>
      <c r="D82" s="14">
        <v>814265.15500000003</v>
      </c>
      <c r="E82" s="17">
        <f>'Industry Production'!C82</f>
        <v>111</v>
      </c>
      <c r="F82" s="17">
        <f>'Import Export'!D82</f>
        <v>35988.1</v>
      </c>
      <c r="G82" s="17">
        <f>'Import Export'!E82</f>
        <v>32108.5</v>
      </c>
      <c r="H82" s="17">
        <v>3.2852000000000001</v>
      </c>
      <c r="I82" s="18">
        <v>100340</v>
      </c>
    </row>
    <row r="83" spans="1:9">
      <c r="A83" s="16">
        <v>40847</v>
      </c>
      <c r="B83" s="17">
        <f>Inflation!C83</f>
        <v>104.3</v>
      </c>
      <c r="C83" s="17">
        <f>LOOKUP(A83,inrtpl_m_m[Data],inrtpl_m_m[Zamkniecie2])</f>
        <v>4.5</v>
      </c>
      <c r="D83" s="14">
        <v>817584.86699999997</v>
      </c>
      <c r="E83" s="17">
        <f>'Industry Production'!C83</f>
        <v>98.1</v>
      </c>
      <c r="F83" s="17">
        <f>'Import Export'!D83</f>
        <v>38329.199999999997</v>
      </c>
      <c r="G83" s="17">
        <f>'Import Export'!E83</f>
        <v>33560.800000000003</v>
      </c>
      <c r="H83" s="17">
        <v>3.1320999999999999</v>
      </c>
      <c r="I83" s="18">
        <v>102681.1</v>
      </c>
    </row>
    <row r="84" spans="1:9">
      <c r="A84" s="16">
        <v>40877</v>
      </c>
      <c r="B84" s="17">
        <f>Inflation!C84</f>
        <v>104.8</v>
      </c>
      <c r="C84" s="17">
        <f>LOOKUP(A84,inrtpl_m_m[Data],inrtpl_m_m[Zamkniecie2])</f>
        <v>4.5</v>
      </c>
      <c r="D84" s="14">
        <v>836794.03099999996</v>
      </c>
      <c r="E84" s="17">
        <f>'Industry Production'!C84</f>
        <v>100.2</v>
      </c>
      <c r="F84" s="17">
        <f>'Import Export'!D84</f>
        <v>36266.699999999997</v>
      </c>
      <c r="G84" s="17">
        <f>'Import Export'!E84</f>
        <v>32070.2</v>
      </c>
      <c r="H84" s="17">
        <v>3.3460000000000001</v>
      </c>
      <c r="I84" s="18">
        <v>98665.1</v>
      </c>
    </row>
    <row r="85" spans="1:9">
      <c r="A85" s="16">
        <v>40908</v>
      </c>
      <c r="B85" s="17">
        <f>Inflation!C85</f>
        <v>104.6</v>
      </c>
      <c r="C85" s="17">
        <f>LOOKUP(A85,inrtpl_m_m[Data],inrtpl_m_m[Zamkniecie2])</f>
        <v>4.5</v>
      </c>
      <c r="D85" s="14">
        <v>863745.52099999995</v>
      </c>
      <c r="E85" s="17">
        <f>'Industry Production'!C85</f>
        <v>96</v>
      </c>
      <c r="F85" s="17">
        <f>'Import Export'!D85</f>
        <v>33596.800000000003</v>
      </c>
      <c r="G85" s="17">
        <f>'Import Export'!E85</f>
        <v>26643.8</v>
      </c>
      <c r="H85" s="17">
        <v>3.4443000000000001</v>
      </c>
      <c r="I85" s="18">
        <v>97866</v>
      </c>
    </row>
    <row r="86" spans="1:9">
      <c r="A86" s="16">
        <v>40939</v>
      </c>
      <c r="B86" s="17">
        <f>Inflation!C86</f>
        <v>104.1</v>
      </c>
      <c r="C86" s="17">
        <f>LOOKUP(A86,inrtpl_m_m[Data],inrtpl_m_m[Zamkniecie2])</f>
        <v>4.5</v>
      </c>
      <c r="D86" s="14">
        <v>855202.85800000001</v>
      </c>
      <c r="E86" s="17">
        <f>'Industry Production'!C86</f>
        <v>95</v>
      </c>
      <c r="F86" s="17">
        <f>'Import Export'!D86</f>
        <v>34425</v>
      </c>
      <c r="G86" s="17">
        <f>'Import Export'!E86</f>
        <v>29591.599999999999</v>
      </c>
      <c r="H86" s="17">
        <v>3.2382</v>
      </c>
      <c r="I86" s="18">
        <v>100319</v>
      </c>
    </row>
    <row r="87" spans="1:9">
      <c r="A87" s="16">
        <v>40968</v>
      </c>
      <c r="B87" s="17">
        <f>Inflation!C87</f>
        <v>104.3</v>
      </c>
      <c r="C87" s="17">
        <f>LOOKUP(A87,inrtpl_m_m[Data],inrtpl_m_m[Zamkniecie2])</f>
        <v>4.5</v>
      </c>
      <c r="D87" s="14">
        <v>860213.87199999997</v>
      </c>
      <c r="E87" s="17">
        <f>'Industry Production'!C87</f>
        <v>99.6</v>
      </c>
      <c r="F87" s="17">
        <f>'Import Export'!D87</f>
        <v>33553.300000000003</v>
      </c>
      <c r="G87" s="17">
        <f>'Import Export'!E87</f>
        <v>29800.9</v>
      </c>
      <c r="H87" s="17">
        <v>3.0842000000000001</v>
      </c>
      <c r="I87" s="18">
        <v>101894.2</v>
      </c>
    </row>
    <row r="88" spans="1:9">
      <c r="A88" s="16">
        <v>40999</v>
      </c>
      <c r="B88" s="17">
        <f>Inflation!C88</f>
        <v>103.9</v>
      </c>
      <c r="C88" s="17">
        <f>LOOKUP(A88,inrtpl_m_m[Data],inrtpl_m_m[Zamkniecie2])</f>
        <v>4.5</v>
      </c>
      <c r="D88" s="14">
        <v>859994.951</v>
      </c>
      <c r="E88" s="17">
        <f>'Industry Production'!C88</f>
        <v>110.2</v>
      </c>
      <c r="F88" s="17">
        <f>'Import Export'!D88</f>
        <v>40308</v>
      </c>
      <c r="G88" s="17">
        <f>'Import Export'!E88</f>
        <v>34261.5</v>
      </c>
      <c r="H88" s="17">
        <v>3.1040000000000001</v>
      </c>
      <c r="I88" s="18">
        <v>99726.6</v>
      </c>
    </row>
    <row r="89" spans="1:9">
      <c r="A89" s="16">
        <v>41029</v>
      </c>
      <c r="B89" s="17">
        <f>Inflation!C89</f>
        <v>104</v>
      </c>
      <c r="C89" s="17">
        <f>LOOKUP(A89,inrtpl_m_m[Data],inrtpl_m_m[Zamkniecie2])</f>
        <v>4.5</v>
      </c>
      <c r="D89" s="14">
        <v>854927.24</v>
      </c>
      <c r="E89" s="17">
        <f>'Industry Production'!C89</f>
        <v>92.4</v>
      </c>
      <c r="F89" s="17">
        <f>'Import Export'!D89</f>
        <v>36233.800000000003</v>
      </c>
      <c r="G89" s="17">
        <f>'Import Export'!E89</f>
        <v>30665.1</v>
      </c>
      <c r="H89" s="17">
        <v>3.1549</v>
      </c>
      <c r="I89" s="18">
        <v>102808.9</v>
      </c>
    </row>
    <row r="90" spans="1:9">
      <c r="A90" s="16">
        <v>41060</v>
      </c>
      <c r="B90" s="17">
        <f>Inflation!C90</f>
        <v>103.6</v>
      </c>
      <c r="C90" s="17">
        <f>LOOKUP(A90,inrtpl_m_m[Data],inrtpl_m_m[Zamkniecie2])</f>
        <v>4.75</v>
      </c>
      <c r="D90" s="14">
        <v>867102.00600000005</v>
      </c>
      <c r="E90" s="17">
        <f>'Industry Production'!C90</f>
        <v>104</v>
      </c>
      <c r="F90" s="17">
        <f>'Import Export'!D90</f>
        <v>37771</v>
      </c>
      <c r="G90" s="17">
        <f>'Import Export'!E90</f>
        <v>32077.8</v>
      </c>
      <c r="H90" s="17">
        <v>3.5493999999999999</v>
      </c>
      <c r="I90" s="18">
        <v>98214.699999999983</v>
      </c>
    </row>
    <row r="91" spans="1:9">
      <c r="A91" s="16">
        <v>41090</v>
      </c>
      <c r="B91" s="17">
        <f>Inflation!C91</f>
        <v>104.3</v>
      </c>
      <c r="C91" s="17">
        <f>LOOKUP(A91,inrtpl_m_m[Data],inrtpl_m_m[Zamkniecie2])</f>
        <v>4.75</v>
      </c>
      <c r="D91" s="14">
        <v>868777.85100000002</v>
      </c>
      <c r="E91" s="17">
        <f>'Industry Production'!C91</f>
        <v>98</v>
      </c>
      <c r="F91" s="17">
        <f>'Import Export'!D91</f>
        <v>38482.199999999997</v>
      </c>
      <c r="G91" s="17">
        <f>'Import Export'!E91</f>
        <v>32169.4</v>
      </c>
      <c r="H91" s="17">
        <v>3.3344999999999998</v>
      </c>
      <c r="I91" s="18">
        <v>101388.09999999999</v>
      </c>
    </row>
    <row r="92" spans="1:9">
      <c r="A92" s="16">
        <v>41121</v>
      </c>
      <c r="B92" s="17">
        <f>Inflation!C92</f>
        <v>104</v>
      </c>
      <c r="C92" s="17">
        <f>LOOKUP(A92,inrtpl_m_m[Data],inrtpl_m_m[Zamkniecie2])</f>
        <v>4.75</v>
      </c>
      <c r="D92" s="14">
        <v>869059.23199999996</v>
      </c>
      <c r="E92" s="17">
        <f>'Industry Production'!C92</f>
        <v>98.1</v>
      </c>
      <c r="F92" s="17">
        <f>'Import Export'!D92</f>
        <v>38662.5</v>
      </c>
      <c r="G92" s="17">
        <f>'Import Export'!E92</f>
        <v>31487.5</v>
      </c>
      <c r="H92" s="17">
        <v>3.3433000000000002</v>
      </c>
      <c r="I92" s="18">
        <v>102279.20000000001</v>
      </c>
    </row>
    <row r="93" spans="1:9">
      <c r="A93" s="16">
        <v>41152</v>
      </c>
      <c r="B93" s="17">
        <f>Inflation!C93</f>
        <v>103.8</v>
      </c>
      <c r="C93" s="17">
        <f>LOOKUP(A93,inrtpl_m_m[Data],inrtpl_m_m[Zamkniecie2])</f>
        <v>4.75</v>
      </c>
      <c r="D93" s="14">
        <v>872955.40300000005</v>
      </c>
      <c r="E93" s="17">
        <f>'Industry Production'!C93</f>
        <v>99.4</v>
      </c>
      <c r="F93" s="17">
        <f>'Import Export'!D93</f>
        <v>35653.300000000003</v>
      </c>
      <c r="G93" s="17">
        <f>'Import Export'!E93</f>
        <v>31682.3</v>
      </c>
      <c r="H93" s="17">
        <v>3.3147000000000002</v>
      </c>
      <c r="I93" s="18">
        <v>103523.90000000001</v>
      </c>
    </row>
    <row r="94" spans="1:9">
      <c r="A94" s="16">
        <v>41182</v>
      </c>
      <c r="B94" s="17">
        <f>Inflation!C94</f>
        <v>103.8</v>
      </c>
      <c r="C94" s="17">
        <f>LOOKUP(A94,inrtpl_m_m[Data],inrtpl_m_m[Zamkniecie2])</f>
        <v>4.75</v>
      </c>
      <c r="D94" s="14">
        <v>874563.2</v>
      </c>
      <c r="E94" s="17">
        <f>'Industry Production'!C94</f>
        <v>105.5</v>
      </c>
      <c r="F94" s="17">
        <f>'Import Export'!D94</f>
        <v>39623</v>
      </c>
      <c r="G94" s="17">
        <f>'Import Export'!E94</f>
        <v>33712</v>
      </c>
      <c r="H94" s="17">
        <v>3.1938</v>
      </c>
      <c r="I94" s="18">
        <v>105768.09999999999</v>
      </c>
    </row>
    <row r="95" spans="1:9">
      <c r="A95" s="16">
        <v>41213</v>
      </c>
      <c r="B95" s="17">
        <f>Inflation!C95</f>
        <v>103.4</v>
      </c>
      <c r="C95" s="17">
        <f>LOOKUP(A95,inrtpl_m_m[Data],inrtpl_m_m[Zamkniecie2])</f>
        <v>4.75</v>
      </c>
      <c r="D95" s="14">
        <v>879012.17099999997</v>
      </c>
      <c r="E95" s="17">
        <f>'Industry Production'!C95</f>
        <v>107.8</v>
      </c>
      <c r="F95" s="17">
        <f>'Import Export'!D95</f>
        <v>43880.5</v>
      </c>
      <c r="G95" s="17">
        <f>'Import Export'!E95</f>
        <v>37949.699999999997</v>
      </c>
      <c r="H95" s="17">
        <v>3.1876000000000002</v>
      </c>
      <c r="I95" s="18">
        <v>105931.3</v>
      </c>
    </row>
    <row r="96" spans="1:9">
      <c r="A96" s="16">
        <v>41243</v>
      </c>
      <c r="B96" s="17">
        <f>Inflation!C96</f>
        <v>102.8</v>
      </c>
      <c r="C96" s="17">
        <f>LOOKUP(A96,inrtpl_m_m[Data],inrtpl_m_m[Zamkniecie2])</f>
        <v>4.5</v>
      </c>
      <c r="D96" s="14">
        <v>882074.71900000004</v>
      </c>
      <c r="E96" s="17">
        <f>'Industry Production'!C96</f>
        <v>95.2</v>
      </c>
      <c r="F96" s="17">
        <f>'Import Export'!D96</f>
        <v>41968.5</v>
      </c>
      <c r="G96" s="17">
        <f>'Import Export'!E96</f>
        <v>35139</v>
      </c>
      <c r="H96" s="17">
        <v>3.1543000000000001</v>
      </c>
      <c r="I96" s="18">
        <v>107533.5</v>
      </c>
    </row>
    <row r="97" spans="1:9">
      <c r="A97" s="16">
        <v>41274</v>
      </c>
      <c r="B97" s="17">
        <f>Inflation!C97</f>
        <v>102.4</v>
      </c>
      <c r="C97" s="17">
        <f>LOOKUP(A97,inrtpl_m_m[Data],inrtpl_m_m[Zamkniecie2])</f>
        <v>4.25</v>
      </c>
      <c r="D97" s="14">
        <v>900336.73100000003</v>
      </c>
      <c r="E97" s="17">
        <f>'Industry Production'!C97</f>
        <v>87.2</v>
      </c>
      <c r="F97" s="17">
        <f>'Import Export'!D97</f>
        <v>36267.300000000003</v>
      </c>
      <c r="G97" s="17">
        <f>'Import Export'!E97</f>
        <v>28018.799999999999</v>
      </c>
      <c r="H97" s="17">
        <v>3.0935000000000001</v>
      </c>
      <c r="I97" s="18">
        <v>108914.6</v>
      </c>
    </row>
    <row r="98" spans="1:9">
      <c r="A98" s="16">
        <v>41305</v>
      </c>
      <c r="B98" s="17">
        <f>Inflation!C98</f>
        <v>101.7</v>
      </c>
      <c r="C98" s="17">
        <f>LOOKUP(A98,inrtpl_m_m[Data],inrtpl_m_m[Zamkniecie2])</f>
        <v>4</v>
      </c>
      <c r="D98" s="14">
        <v>895716.81799999997</v>
      </c>
      <c r="E98" s="17">
        <f>'Industry Production'!C98</f>
        <v>105.5</v>
      </c>
      <c r="F98" s="17">
        <f>'Import Export'!D98</f>
        <v>39582.699999999997</v>
      </c>
      <c r="G98" s="17">
        <f>'Import Export'!E98</f>
        <v>33558.699999999997</v>
      </c>
      <c r="H98" s="17">
        <v>3.0876000000000001</v>
      </c>
      <c r="I98" s="18">
        <v>108004.70000000001</v>
      </c>
    </row>
    <row r="99" spans="1:9">
      <c r="A99" s="16">
        <v>41333</v>
      </c>
      <c r="B99" s="17">
        <f>Inflation!C99</f>
        <v>101.3</v>
      </c>
      <c r="C99" s="17">
        <f>LOOKUP(A99,inrtpl_m_m[Data],inrtpl_m_m[Zamkniecie2])</f>
        <v>3.75</v>
      </c>
      <c r="D99" s="14">
        <v>904415.03099999996</v>
      </c>
      <c r="E99" s="17">
        <f>'Industry Production'!C99</f>
        <v>97.2</v>
      </c>
      <c r="F99" s="17">
        <f>'Import Export'!D99</f>
        <v>41617.199999999997</v>
      </c>
      <c r="G99" s="17">
        <f>'Import Export'!E99</f>
        <v>35401.699999999997</v>
      </c>
      <c r="H99" s="17">
        <v>3.1696</v>
      </c>
      <c r="I99" s="18">
        <v>107091.1</v>
      </c>
    </row>
    <row r="100" spans="1:9">
      <c r="A100" s="16">
        <v>41364</v>
      </c>
      <c r="B100" s="17">
        <f>Inflation!C100</f>
        <v>101</v>
      </c>
      <c r="C100" s="17">
        <f>LOOKUP(A100,inrtpl_m_m[Data],inrtpl_m_m[Zamkniecie2])</f>
        <v>3.25</v>
      </c>
      <c r="D100" s="14">
        <v>915839.38399999996</v>
      </c>
      <c r="E100" s="17">
        <f>'Industry Production'!C100</f>
        <v>109.3</v>
      </c>
      <c r="F100" s="17">
        <f>'Import Export'!D100</f>
        <v>42400.6</v>
      </c>
      <c r="G100" s="17">
        <f>'Import Export'!E100</f>
        <v>34315.699999999997</v>
      </c>
      <c r="H100" s="17">
        <v>3.2566000000000002</v>
      </c>
      <c r="I100" s="18">
        <v>108869.5</v>
      </c>
    </row>
    <row r="101" spans="1:9">
      <c r="A101" s="16">
        <v>41394</v>
      </c>
      <c r="B101" s="17">
        <f>Inflation!C101</f>
        <v>100.8</v>
      </c>
      <c r="C101" s="17">
        <f>LOOKUP(A101,inrtpl_m_m[Data],inrtpl_m_m[Zamkniecie2])</f>
        <v>3.25</v>
      </c>
      <c r="D101" s="14">
        <v>914731.59900000005</v>
      </c>
      <c r="E101" s="17">
        <f>'Industry Production'!C101</f>
        <v>97.8</v>
      </c>
      <c r="F101" s="17">
        <f>'Import Export'!D101</f>
        <v>44536.9</v>
      </c>
      <c r="G101" s="17">
        <f>'Import Export'!E101</f>
        <v>37497.699999999997</v>
      </c>
      <c r="H101" s="17">
        <v>3.1593</v>
      </c>
      <c r="I101" s="18">
        <v>109094.1</v>
      </c>
    </row>
    <row r="102" spans="1:9">
      <c r="A102" s="16">
        <v>41425</v>
      </c>
      <c r="B102" s="17">
        <f>Inflation!C102</f>
        <v>100.5</v>
      </c>
      <c r="C102" s="17">
        <f>LOOKUP(A102,inrtpl_m_m[Data],inrtpl_m_m[Zamkniecie2])</f>
        <v>3</v>
      </c>
      <c r="D102" s="14">
        <v>920112.13600000006</v>
      </c>
      <c r="E102" s="17">
        <f>'Industry Production'!C102</f>
        <v>99.3</v>
      </c>
      <c r="F102" s="17">
        <f>'Import Export'!D102</f>
        <v>40068.9</v>
      </c>
      <c r="G102" s="17">
        <f>'Import Export'!E102</f>
        <v>32679.5</v>
      </c>
      <c r="H102" s="17">
        <v>3.2934999999999999</v>
      </c>
      <c r="I102" s="18">
        <v>110226.90000000001</v>
      </c>
    </row>
    <row r="103" spans="1:9">
      <c r="A103" s="16">
        <v>41455</v>
      </c>
      <c r="B103" s="17">
        <f>Inflation!C103</f>
        <v>100.2</v>
      </c>
      <c r="C103" s="17">
        <f>LOOKUP(A103,inrtpl_m_m[Data],inrtpl_m_m[Zamkniecie2])</f>
        <v>2.75</v>
      </c>
      <c r="D103" s="14">
        <v>927344.50600000005</v>
      </c>
      <c r="E103" s="17">
        <f>'Industry Production'!C103</f>
        <v>102.6</v>
      </c>
      <c r="F103" s="17">
        <f>'Import Export'!D103</f>
        <v>42622</v>
      </c>
      <c r="G103" s="17">
        <f>'Import Export'!E103</f>
        <v>34157</v>
      </c>
      <c r="H103" s="17">
        <v>3.3290999999999999</v>
      </c>
      <c r="I103" s="18">
        <v>106914.99999999999</v>
      </c>
    </row>
    <row r="104" spans="1:9">
      <c r="A104" s="16">
        <v>41486</v>
      </c>
      <c r="B104" s="17">
        <f>Inflation!C104</f>
        <v>101.1</v>
      </c>
      <c r="C104" s="17">
        <f>LOOKUP(A104,inrtpl_m_m[Data],inrtpl_m_m[Zamkniecie2])</f>
        <v>2.5</v>
      </c>
      <c r="D104" s="14">
        <v>921661.48400000005</v>
      </c>
      <c r="E104" s="17">
        <f>'Industry Production'!C104</f>
        <v>101.5</v>
      </c>
      <c r="F104" s="17">
        <f>'Import Export'!D104</f>
        <v>41840.800000000003</v>
      </c>
      <c r="G104" s="17">
        <f>'Import Export'!E104</f>
        <v>33855</v>
      </c>
      <c r="H104" s="17">
        <v>3.2018</v>
      </c>
      <c r="I104" s="18">
        <v>110129.59999999999</v>
      </c>
    </row>
    <row r="105" spans="1:9">
      <c r="A105" s="16">
        <v>41517</v>
      </c>
      <c r="B105" s="17">
        <f>Inflation!C105</f>
        <v>101.1</v>
      </c>
      <c r="C105" s="17">
        <f>LOOKUP(A105,inrtpl_m_m[Data],inrtpl_m_m[Zamkniecie2])</f>
        <v>2.5</v>
      </c>
      <c r="D105" s="14">
        <v>928358.84699999995</v>
      </c>
      <c r="E105" s="17">
        <f>'Industry Production'!C105</f>
        <v>95.6</v>
      </c>
      <c r="F105" s="17">
        <f>'Import Export'!D105</f>
        <v>37164.9</v>
      </c>
      <c r="G105" s="17">
        <f>'Import Export'!E105</f>
        <v>30219.7</v>
      </c>
      <c r="H105" s="17">
        <v>3.2311000000000001</v>
      </c>
      <c r="I105" s="18">
        <v>109391</v>
      </c>
    </row>
    <row r="106" spans="1:9">
      <c r="A106" s="16">
        <v>41547</v>
      </c>
      <c r="B106" s="17">
        <f>Inflation!C106</f>
        <v>101</v>
      </c>
      <c r="C106" s="17">
        <f>LOOKUP(A106,inrtpl_m_m[Data],inrtpl_m_m[Zamkniecie2])</f>
        <v>2.5</v>
      </c>
      <c r="D106" s="14">
        <v>931041.81499999994</v>
      </c>
      <c r="E106" s="17">
        <f>'Industry Production'!C106</f>
        <v>109.7</v>
      </c>
      <c r="F106" s="17">
        <f>'Import Export'!D106</f>
        <v>44140.4</v>
      </c>
      <c r="G106" s="17">
        <f>'Import Export'!E106</f>
        <v>36737.199999999997</v>
      </c>
      <c r="H106" s="17">
        <v>3.1190000000000002</v>
      </c>
      <c r="I106" s="18">
        <v>106862.5</v>
      </c>
    </row>
    <row r="107" spans="1:9">
      <c r="A107" s="16">
        <v>41578</v>
      </c>
      <c r="B107" s="17">
        <f>Inflation!C107</f>
        <v>100.8</v>
      </c>
      <c r="C107" s="17">
        <f>LOOKUP(A107,inrtpl_m_m[Data],inrtpl_m_m[Zamkniecie2])</f>
        <v>2.5</v>
      </c>
      <c r="D107" s="14">
        <v>935095.23300000001</v>
      </c>
      <c r="E107" s="17">
        <f>'Industry Production'!C107</f>
        <v>106.1</v>
      </c>
      <c r="F107" s="17">
        <f>'Import Export'!D107</f>
        <v>45413.1</v>
      </c>
      <c r="G107" s="17">
        <f>'Import Export'!E107</f>
        <v>37490.800000000003</v>
      </c>
      <c r="H107" s="17">
        <v>3.0752999999999999</v>
      </c>
      <c r="I107" s="18">
        <v>105544</v>
      </c>
    </row>
    <row r="108" spans="1:9">
      <c r="A108" s="16">
        <v>41608</v>
      </c>
      <c r="B108" s="17">
        <f>Inflation!C108</f>
        <v>100.6</v>
      </c>
      <c r="C108" s="17">
        <f>LOOKUP(A108,inrtpl_m_m[Data],inrtpl_m_m[Zamkniecie2])</f>
        <v>2.5</v>
      </c>
      <c r="D108" s="14">
        <v>934713.23600000003</v>
      </c>
      <c r="E108" s="17">
        <f>'Industry Production'!C108</f>
        <v>93.8</v>
      </c>
      <c r="F108" s="17">
        <f>'Import Export'!D108</f>
        <v>40475.199999999997</v>
      </c>
      <c r="G108" s="17">
        <f>'Import Export'!E108</f>
        <v>32384.5</v>
      </c>
      <c r="H108" s="17">
        <v>3.0931000000000002</v>
      </c>
      <c r="I108" s="18">
        <v>107048</v>
      </c>
    </row>
    <row r="109" spans="1:9">
      <c r="A109" s="16">
        <v>41639</v>
      </c>
      <c r="B109" s="17">
        <f>Inflation!C109</f>
        <v>100.7</v>
      </c>
      <c r="C109" s="17">
        <f>LOOKUP(A109,inrtpl_m_m[Data],inrtpl_m_m[Zamkniecie2])</f>
        <v>2.5</v>
      </c>
      <c r="D109" s="14">
        <v>960344.91299999994</v>
      </c>
      <c r="E109" s="17">
        <f>'Industry Production'!C109</f>
        <v>90.4</v>
      </c>
      <c r="F109" s="17">
        <f>'Import Export'!D109</f>
        <v>37165.599999999999</v>
      </c>
      <c r="G109" s="17">
        <f>'Import Export'!E109</f>
        <v>27085.599999999999</v>
      </c>
      <c r="H109" s="17">
        <v>3.0179999999999998</v>
      </c>
      <c r="I109" s="18">
        <v>106219.49999999999</v>
      </c>
    </row>
    <row r="110" spans="1:9">
      <c r="A110" s="16">
        <v>41670</v>
      </c>
      <c r="B110" s="17">
        <f>Inflation!C110</f>
        <v>100.5</v>
      </c>
      <c r="C110" s="17">
        <f>LOOKUP(A110,inrtpl_m_m[Data],inrtpl_m_m[Zamkniecie2])</f>
        <v>2.5</v>
      </c>
      <c r="D110" s="14">
        <v>947443.32299999997</v>
      </c>
      <c r="E110" s="17">
        <f>'Industry Production'!C110</f>
        <v>103</v>
      </c>
      <c r="F110" s="17">
        <f>'Import Export'!D110</f>
        <v>34497.599999999999</v>
      </c>
      <c r="G110" s="17">
        <f>'Import Export'!E110</f>
        <v>30128.799999999999</v>
      </c>
      <c r="H110" s="17">
        <v>3.1495000000000002</v>
      </c>
      <c r="I110" s="18">
        <v>106322.5</v>
      </c>
    </row>
    <row r="111" spans="1:9">
      <c r="A111" s="16">
        <v>41698</v>
      </c>
      <c r="B111" s="17">
        <f>Inflation!C111</f>
        <v>100.7</v>
      </c>
      <c r="C111" s="17">
        <f>LOOKUP(A111,inrtpl_m_m[Data],inrtpl_m_m[Zamkniecie2])</f>
        <v>2.5</v>
      </c>
      <c r="D111" s="14">
        <v>954284.05299999996</v>
      </c>
      <c r="E111" s="17">
        <f>'Industry Production'!C111</f>
        <v>98.2</v>
      </c>
      <c r="F111" s="17">
        <f>'Import Export'!D111</f>
        <v>37061.9</v>
      </c>
      <c r="G111" s="17">
        <f>'Import Export'!E111</f>
        <v>34524.199999999997</v>
      </c>
      <c r="H111" s="17">
        <v>3.0102000000000002</v>
      </c>
      <c r="I111" s="18">
        <v>104407.1</v>
      </c>
    </row>
    <row r="112" spans="1:9">
      <c r="A112" s="16">
        <v>41729</v>
      </c>
      <c r="B112" s="17">
        <f>Inflation!C112</f>
        <v>100.7</v>
      </c>
      <c r="C112" s="17">
        <f>LOOKUP(A112,inrtpl_m_m[Data],inrtpl_m_m[Zamkniecie2])</f>
        <v>2.5</v>
      </c>
      <c r="D112" s="14">
        <v>964623.74100000004</v>
      </c>
      <c r="E112" s="17">
        <f>'Industry Production'!C112</f>
        <v>109.4</v>
      </c>
      <c r="F112" s="17">
        <f>'Import Export'!D112</f>
        <v>42350</v>
      </c>
      <c r="G112" s="17">
        <f>'Import Export'!E112</f>
        <v>38626.9</v>
      </c>
      <c r="H112" s="17">
        <v>3.02</v>
      </c>
      <c r="I112" s="18">
        <v>102846.40000000001</v>
      </c>
    </row>
    <row r="113" spans="1:9">
      <c r="A113" s="16">
        <v>41759</v>
      </c>
      <c r="B113" s="17">
        <f>Inflation!C113</f>
        <v>100.3</v>
      </c>
      <c r="C113" s="17">
        <f>LOOKUP(A113,inrtpl_m_m[Data],inrtpl_m_m[Zamkniecie2])</f>
        <v>2.5</v>
      </c>
      <c r="D113" s="14">
        <v>969753.51599999995</v>
      </c>
      <c r="E113" s="17">
        <f>'Industry Production'!C113</f>
        <v>97.8</v>
      </c>
      <c r="F113" s="17">
        <f>'Import Export'!D113</f>
        <v>37746.5</v>
      </c>
      <c r="G113" s="17">
        <f>'Import Export'!E113</f>
        <v>34277.5</v>
      </c>
      <c r="H113" s="17">
        <v>3.0276000000000001</v>
      </c>
      <c r="I113" s="18">
        <v>102465.7</v>
      </c>
    </row>
    <row r="114" spans="1:9">
      <c r="A114" s="16">
        <v>41790</v>
      </c>
      <c r="B114" s="17">
        <f>Inflation!C114</f>
        <v>100.2</v>
      </c>
      <c r="C114" s="17">
        <f>LOOKUP(A114,inrtpl_m_m[Data],inrtpl_m_m[Zamkniecie2])</f>
        <v>2.5</v>
      </c>
      <c r="D114" s="14">
        <v>975000.902</v>
      </c>
      <c r="E114" s="17">
        <f>'Industry Production'!C114</f>
        <v>98.3</v>
      </c>
      <c r="F114" s="17">
        <f>'Import Export'!D114</f>
        <v>36435.5</v>
      </c>
      <c r="G114" s="17">
        <f>'Import Export'!E114</f>
        <v>33699.599999999999</v>
      </c>
      <c r="H114" s="17">
        <v>3.0320999999999998</v>
      </c>
      <c r="I114" s="18">
        <v>102731.2</v>
      </c>
    </row>
    <row r="115" spans="1:9">
      <c r="A115" s="16">
        <v>41820</v>
      </c>
      <c r="B115" s="17">
        <f>Inflation!C115</f>
        <v>100.3</v>
      </c>
      <c r="C115" s="17">
        <f>LOOKUP(A115,inrtpl_m_m[Data],inrtpl_m_m[Zamkniecie2])</f>
        <v>2.5</v>
      </c>
      <c r="D115" s="14">
        <v>980089.48800000001</v>
      </c>
      <c r="E115" s="17">
        <f>'Industry Production'!C115</f>
        <v>100</v>
      </c>
      <c r="F115" s="17">
        <f>'Import Export'!D115</f>
        <v>40149.300000000003</v>
      </c>
      <c r="G115" s="17">
        <f>'Import Export'!E115</f>
        <v>36317.599999999999</v>
      </c>
      <c r="H115" s="17">
        <v>3.0327999999999999</v>
      </c>
      <c r="I115" s="18">
        <v>101951.3</v>
      </c>
    </row>
    <row r="116" spans="1:9">
      <c r="A116" s="16">
        <v>41851</v>
      </c>
      <c r="B116" s="17">
        <f>Inflation!C116</f>
        <v>99.8</v>
      </c>
      <c r="C116" s="17">
        <f>LOOKUP(A116,inrtpl_m_m[Data],inrtpl_m_m[Zamkniecie2])</f>
        <v>2.5</v>
      </c>
      <c r="D116" s="14">
        <v>985769.15599999996</v>
      </c>
      <c r="E116" s="17">
        <f>'Industry Production'!C116</f>
        <v>102.1</v>
      </c>
      <c r="F116" s="17">
        <f>'Import Export'!D116</f>
        <v>39360.699999999997</v>
      </c>
      <c r="G116" s="17">
        <f>'Import Export'!E116</f>
        <v>35359.800000000003</v>
      </c>
      <c r="H116" s="17">
        <v>3.1173000000000002</v>
      </c>
      <c r="I116" s="18">
        <v>103480.3</v>
      </c>
    </row>
    <row r="117" spans="1:9">
      <c r="A117" s="16">
        <v>41882</v>
      </c>
      <c r="B117" s="17">
        <f>Inflation!C117</f>
        <v>99.7</v>
      </c>
      <c r="C117" s="17">
        <f>LOOKUP(A117,inrtpl_m_m[Data],inrtpl_m_m[Zamkniecie2])</f>
        <v>2.5</v>
      </c>
      <c r="D117" s="14">
        <v>1003128.3639999999</v>
      </c>
      <c r="E117" s="17">
        <f>'Industry Production'!C117</f>
        <v>91.5</v>
      </c>
      <c r="F117" s="17">
        <f>'Import Export'!D117</f>
        <v>34896.400000000001</v>
      </c>
      <c r="G117" s="17">
        <f>'Import Export'!E117</f>
        <v>30673.1</v>
      </c>
      <c r="H117" s="17">
        <v>3.2008999999999999</v>
      </c>
      <c r="I117" s="18">
        <v>101971.6</v>
      </c>
    </row>
    <row r="118" spans="1:9">
      <c r="A118" s="16">
        <v>41912</v>
      </c>
      <c r="B118" s="17">
        <f>Inflation!C118</f>
        <v>99.7</v>
      </c>
      <c r="C118" s="17">
        <f>LOOKUP(A118,inrtpl_m_m[Data],inrtpl_m_m[Zamkniecie2])</f>
        <v>2.5</v>
      </c>
      <c r="D118" s="14">
        <v>1003354.341</v>
      </c>
      <c r="E118" s="17">
        <f>'Industry Production'!C118</f>
        <v>116.5</v>
      </c>
      <c r="F118" s="17">
        <f>'Import Export'!D118</f>
        <v>40494.800000000003</v>
      </c>
      <c r="G118" s="17">
        <f>'Import Export'!E118</f>
        <v>38551.599999999999</v>
      </c>
      <c r="H118" s="17">
        <v>3.3058999999999998</v>
      </c>
      <c r="I118" s="18">
        <v>101722.29999999999</v>
      </c>
    </row>
    <row r="119" spans="1:9">
      <c r="A119" s="16">
        <v>41943</v>
      </c>
      <c r="B119" s="17">
        <f>Inflation!C119</f>
        <v>99.4</v>
      </c>
      <c r="C119" s="17">
        <f>LOOKUP(A119,inrtpl_m_m[Data],inrtpl_m_m[Zamkniecie2])</f>
        <v>2</v>
      </c>
      <c r="D119" s="14">
        <v>1011930.5550000001</v>
      </c>
      <c r="E119" s="17">
        <f>'Industry Production'!C119</f>
        <v>103.6</v>
      </c>
      <c r="F119" s="17">
        <f>'Import Export'!D119</f>
        <v>42955.7</v>
      </c>
      <c r="G119" s="17">
        <f>'Import Export'!E119</f>
        <v>40022.5</v>
      </c>
      <c r="H119" s="17">
        <v>3.3746</v>
      </c>
      <c r="I119" s="18">
        <v>100122.6</v>
      </c>
    </row>
    <row r="120" spans="1:9">
      <c r="A120" s="16">
        <v>41973</v>
      </c>
      <c r="B120" s="17">
        <f>Inflation!C120</f>
        <v>99.4</v>
      </c>
      <c r="C120" s="17">
        <f>LOOKUP(A120,inrtpl_m_m[Data],inrtpl_m_m[Zamkniecie2])</f>
        <v>2</v>
      </c>
      <c r="D120" s="14">
        <v>1017658.848</v>
      </c>
      <c r="E120" s="17">
        <f>'Industry Production'!C120</f>
        <v>92.5</v>
      </c>
      <c r="F120" s="17">
        <f>'Import Export'!D120</f>
        <v>40790.800000000003</v>
      </c>
      <c r="G120" s="17">
        <f>'Import Export'!E120</f>
        <v>38055.800000000003</v>
      </c>
      <c r="H120" s="17">
        <v>3.3601999999999999</v>
      </c>
      <c r="I120" s="18">
        <v>100393.9</v>
      </c>
    </row>
    <row r="121" spans="1:9">
      <c r="A121" s="16">
        <v>42004</v>
      </c>
      <c r="B121" s="17">
        <f>Inflation!C121</f>
        <v>99</v>
      </c>
      <c r="C121" s="17">
        <f>LOOKUP(A121,inrtpl_m_m[Data],inrtpl_m_m[Zamkniecie2])</f>
        <v>2</v>
      </c>
      <c r="D121" s="14">
        <v>1044552.907</v>
      </c>
      <c r="E121" s="17">
        <f>'Industry Production'!C121</f>
        <v>97.4</v>
      </c>
      <c r="F121" s="17">
        <f>'Import Export'!D121</f>
        <v>36643.4</v>
      </c>
      <c r="G121" s="17">
        <f>'Import Export'!E121</f>
        <v>33004.6</v>
      </c>
      <c r="H121" s="17">
        <v>3.5411999999999999</v>
      </c>
      <c r="I121" s="18">
        <v>100438.2</v>
      </c>
    </row>
    <row r="122" spans="1:9">
      <c r="A122" s="16">
        <v>42035</v>
      </c>
      <c r="B122" s="17">
        <f>Inflation!C122</f>
        <v>98.6</v>
      </c>
      <c r="C122" s="17">
        <f>LOOKUP(A122,inrtpl_m_m[Data],inrtpl_m_m[Zamkniecie2])</f>
        <v>2</v>
      </c>
      <c r="D122" s="14">
        <v>1032424.444</v>
      </c>
      <c r="E122" s="17">
        <f>'Industry Production'!C122</f>
        <v>96.8</v>
      </c>
      <c r="F122" s="17">
        <f>'Import Export'!D122</f>
        <v>36572.400000000001</v>
      </c>
      <c r="G122" s="17">
        <f>'Import Export'!E122</f>
        <v>34236.9</v>
      </c>
      <c r="H122" s="17">
        <v>3.7027999999999999</v>
      </c>
      <c r="I122" s="18">
        <v>99461.8</v>
      </c>
    </row>
    <row r="123" spans="1:9">
      <c r="A123" s="16">
        <v>42063</v>
      </c>
      <c r="B123" s="17">
        <f>Inflation!C123</f>
        <v>98.4</v>
      </c>
      <c r="C123" s="17">
        <f>LOOKUP(A123,inrtpl_m_m[Data],inrtpl_m_m[Zamkniecie2])</f>
        <v>2</v>
      </c>
      <c r="D123" s="14">
        <v>1038760.559</v>
      </c>
      <c r="E123" s="17">
        <f>'Industry Production'!C123</f>
        <v>101.4</v>
      </c>
      <c r="F123" s="17">
        <f>'Import Export'!D123</f>
        <v>39626.300000000003</v>
      </c>
      <c r="G123" s="17">
        <f>'Import Export'!E123</f>
        <v>36286.1</v>
      </c>
      <c r="H123" s="17">
        <v>3.7052</v>
      </c>
      <c r="I123" s="18">
        <v>97509.099999999991</v>
      </c>
    </row>
    <row r="124" spans="1:9">
      <c r="A124" s="16">
        <v>42094</v>
      </c>
      <c r="B124" s="17">
        <f>Inflation!C124</f>
        <v>98.5</v>
      </c>
      <c r="C124" s="17">
        <f>LOOKUP(A124,inrtpl_m_m[Data],inrtpl_m_m[Zamkniecie2])</f>
        <v>1.5</v>
      </c>
      <c r="D124" s="14">
        <v>1050848.922</v>
      </c>
      <c r="E124" s="17">
        <f>'Industry Production'!C124</f>
        <v>113.4</v>
      </c>
      <c r="F124" s="17">
        <f>'Import Export'!D124</f>
        <v>45147.3</v>
      </c>
      <c r="G124" s="17">
        <f>'Import Export'!E124</f>
        <v>40612</v>
      </c>
      <c r="H124" s="17">
        <v>3.79365</v>
      </c>
      <c r="I124" s="18">
        <v>97126.3</v>
      </c>
    </row>
    <row r="125" spans="1:9">
      <c r="A125" s="16">
        <v>42124</v>
      </c>
      <c r="B125" s="17">
        <f>Inflation!C125</f>
        <v>98.9</v>
      </c>
      <c r="C125" s="17">
        <f>LOOKUP(A125,inrtpl_m_m[Data],inrtpl_m_m[Zamkniecie2])</f>
        <v>1.5</v>
      </c>
      <c r="D125" s="14">
        <v>1043441.637</v>
      </c>
      <c r="E125" s="17">
        <f>'Industry Production'!C125</f>
        <v>92</v>
      </c>
      <c r="F125" s="17">
        <f>'Import Export'!D125</f>
        <v>41568.699999999997</v>
      </c>
      <c r="G125" s="17">
        <f>'Import Export'!E125</f>
        <v>38498.9</v>
      </c>
      <c r="H125" s="17">
        <v>3.6038999999999999</v>
      </c>
      <c r="I125" s="18">
        <v>102917.9</v>
      </c>
    </row>
    <row r="126" spans="1:9">
      <c r="A126" s="16">
        <v>42155</v>
      </c>
      <c r="B126" s="17">
        <f>Inflation!C126</f>
        <v>99.1</v>
      </c>
      <c r="C126" s="17">
        <f>LOOKUP(A126,inrtpl_m_m[Data],inrtpl_m_m[Zamkniecie2])</f>
        <v>1.5</v>
      </c>
      <c r="D126" s="14">
        <v>1052740.9609999999</v>
      </c>
      <c r="E126" s="17">
        <f>'Industry Production'!C126</f>
        <v>98.6</v>
      </c>
      <c r="F126" s="17">
        <f>'Import Export'!D126</f>
        <v>44284.2</v>
      </c>
      <c r="G126" s="17">
        <f>'Import Export'!E126</f>
        <v>40021.800000000003</v>
      </c>
      <c r="H126" s="17">
        <v>3.7437999999999998</v>
      </c>
      <c r="I126" s="18">
        <v>102921.3</v>
      </c>
    </row>
    <row r="127" spans="1:9">
      <c r="A127" s="16">
        <v>42185</v>
      </c>
      <c r="B127" s="17">
        <f>Inflation!C127</f>
        <v>99.2</v>
      </c>
      <c r="C127" s="17">
        <f>LOOKUP(A127,inrtpl_m_m[Data],inrtpl_m_m[Zamkniecie2])</f>
        <v>1.5</v>
      </c>
      <c r="D127" s="14">
        <v>1065897.2749999999</v>
      </c>
      <c r="E127" s="17">
        <f>'Industry Production'!C127</f>
        <v>104.6</v>
      </c>
      <c r="F127" s="17">
        <f>'Import Export'!D127</f>
        <v>46905.5</v>
      </c>
      <c r="G127" s="17">
        <f>'Import Export'!E127</f>
        <v>43053.8</v>
      </c>
      <c r="H127" s="17">
        <v>3.7615099999999999</v>
      </c>
      <c r="I127" s="18">
        <v>104060.5</v>
      </c>
    </row>
    <row r="128" spans="1:9">
      <c r="A128" s="16">
        <v>42216</v>
      </c>
      <c r="B128" s="17">
        <f>Inflation!C128</f>
        <v>99.3</v>
      </c>
      <c r="C128" s="17">
        <f>LOOKUP(A128,inrtpl_m_m[Data],inrtpl_m_m[Zamkniecie2])</f>
        <v>1.5</v>
      </c>
      <c r="D128" s="14">
        <v>1074074.4850000001</v>
      </c>
      <c r="E128" s="17">
        <f>'Industry Production'!C128</f>
        <v>98.7</v>
      </c>
      <c r="F128" s="17">
        <f>'Import Export'!D128</f>
        <v>45435.3</v>
      </c>
      <c r="G128" s="17">
        <f>'Import Export'!E128</f>
        <v>40591</v>
      </c>
      <c r="H128" s="17">
        <v>3.7728000000000002</v>
      </c>
      <c r="I128" s="18">
        <v>98672.2</v>
      </c>
    </row>
    <row r="129" spans="1:9">
      <c r="A129" s="16">
        <v>42247</v>
      </c>
      <c r="B129" s="17">
        <f>Inflation!C129</f>
        <v>99.4</v>
      </c>
      <c r="C129" s="17">
        <f>LOOKUP(A129,inrtpl_m_m[Data],inrtpl_m_m[Zamkniecie2])</f>
        <v>1.5</v>
      </c>
      <c r="D129" s="14">
        <v>1083208.702</v>
      </c>
      <c r="E129" s="17">
        <f>'Industry Production'!C129</f>
        <v>92.9</v>
      </c>
      <c r="F129" s="17">
        <f>'Import Export'!D129</f>
        <v>44136.5</v>
      </c>
      <c r="G129" s="17">
        <f>'Import Export'!E129</f>
        <v>38076.800000000003</v>
      </c>
      <c r="H129" s="17">
        <v>3.7738</v>
      </c>
      <c r="I129" s="18">
        <v>98743.599999999991</v>
      </c>
    </row>
    <row r="130" spans="1:9">
      <c r="A130" s="16">
        <v>42277</v>
      </c>
      <c r="B130" s="17">
        <f>Inflation!C130</f>
        <v>99.2</v>
      </c>
      <c r="C130" s="17">
        <f>LOOKUP(A130,inrtpl_m_m[Data],inrtpl_m_m[Zamkniecie2])</f>
        <v>1.5</v>
      </c>
      <c r="D130" s="14">
        <v>1094310.5009999999</v>
      </c>
      <c r="E130" s="17">
        <f>'Industry Production'!C130</f>
        <v>115.1</v>
      </c>
      <c r="F130" s="17">
        <f>'Import Export'!D130</f>
        <v>48287.7</v>
      </c>
      <c r="G130" s="17">
        <f>'Import Export'!E130</f>
        <v>44360.5</v>
      </c>
      <c r="H130" s="17">
        <v>3.8006500000000001</v>
      </c>
      <c r="I130" s="18">
        <v>101470.00000000001</v>
      </c>
    </row>
    <row r="131" spans="1:9">
      <c r="A131" s="16">
        <v>42308</v>
      </c>
      <c r="B131" s="17">
        <f>Inflation!C131</f>
        <v>99.3</v>
      </c>
      <c r="C131" s="17">
        <f>LOOKUP(A131,inrtpl_m_m[Data],inrtpl_m_m[Zamkniecie2])</f>
        <v>1.5</v>
      </c>
      <c r="D131" s="14">
        <v>1107298.067</v>
      </c>
      <c r="E131" s="17">
        <f>'Industry Production'!C131</f>
        <v>101.9</v>
      </c>
      <c r="F131" s="17">
        <f>'Import Export'!D131</f>
        <v>48787.4</v>
      </c>
      <c r="G131" s="17">
        <f>'Import Export'!E131</f>
        <v>43939.3</v>
      </c>
      <c r="H131" s="17">
        <v>3.8626</v>
      </c>
      <c r="I131" s="18">
        <v>100781.79999999999</v>
      </c>
    </row>
    <row r="132" spans="1:9">
      <c r="A132" s="16">
        <v>42338</v>
      </c>
      <c r="B132" s="17">
        <f>Inflation!C132</f>
        <v>99.4</v>
      </c>
      <c r="C132" s="17">
        <f>LOOKUP(A132,inrtpl_m_m[Data],inrtpl_m_m[Zamkniecie2])</f>
        <v>1.5</v>
      </c>
      <c r="D132" s="14">
        <v>1118293.72</v>
      </c>
      <c r="E132" s="17">
        <f>'Industry Production'!C132</f>
        <v>97.4</v>
      </c>
      <c r="F132" s="17">
        <f>'Import Export'!D132</f>
        <v>49527.1</v>
      </c>
      <c r="G132" s="17">
        <f>'Import Export'!E132</f>
        <v>42551.4</v>
      </c>
      <c r="H132" s="17">
        <v>4.0378299999999996</v>
      </c>
      <c r="I132" s="18">
        <v>98044.499999999985</v>
      </c>
    </row>
    <row r="133" spans="1:9">
      <c r="A133" s="16">
        <v>42369</v>
      </c>
      <c r="B133" s="17">
        <f>Inflation!C133</f>
        <v>99.5</v>
      </c>
      <c r="C133" s="17">
        <f>LOOKUP(A133,inrtpl_m_m[Data],inrtpl_m_m[Zamkniecie2])</f>
        <v>1.5</v>
      </c>
      <c r="D133" s="14">
        <v>1145258.817</v>
      </c>
      <c r="E133" s="17">
        <f>'Industry Production'!C133</f>
        <v>96.4</v>
      </c>
      <c r="F133" s="17">
        <f>'Import Export'!D133</f>
        <v>45942.2</v>
      </c>
      <c r="G133" s="17">
        <f>'Import Export'!E133</f>
        <v>38829.699999999997</v>
      </c>
      <c r="H133" s="17">
        <v>3.9255499999999999</v>
      </c>
      <c r="I133" s="18">
        <v>94921.1</v>
      </c>
    </row>
    <row r="134" spans="1:9">
      <c r="A134" s="16">
        <v>42400</v>
      </c>
      <c r="B134" s="17">
        <f>Inflation!C134</f>
        <v>99.1</v>
      </c>
      <c r="C134" s="17">
        <f>LOOKUP(A134,inrtpl_m_m[Data],inrtpl_m_m[Zamkniecie2])</f>
        <v>1.5</v>
      </c>
      <c r="D134" s="14">
        <v>1140951.3370000001</v>
      </c>
      <c r="E134" s="17">
        <f>'Industry Production'!C134</f>
        <v>92.1</v>
      </c>
      <c r="F134" s="17">
        <f>'Import Export'!D134</f>
        <v>44300.5</v>
      </c>
      <c r="G134" s="17">
        <f>'Import Export'!E134</f>
        <v>40153.300000000003</v>
      </c>
      <c r="H134" s="17">
        <v>4.0799599999999998</v>
      </c>
      <c r="I134" s="18">
        <v>99744.8</v>
      </c>
    </row>
    <row r="135" spans="1:9">
      <c r="A135" s="16">
        <v>42429</v>
      </c>
      <c r="B135" s="17">
        <f>Inflation!C135</f>
        <v>99.2</v>
      </c>
      <c r="C135" s="17">
        <f>LOOKUP(A135,inrtpl_m_m[Data],inrtpl_m_m[Zamkniecie2])</f>
        <v>1.5</v>
      </c>
      <c r="D135" s="14">
        <v>1150393.358</v>
      </c>
      <c r="E135" s="17">
        <f>'Industry Production'!C135</f>
        <v>106.9</v>
      </c>
      <c r="F135" s="17">
        <f>'Import Export'!D135</f>
        <v>47210.9</v>
      </c>
      <c r="G135" s="17">
        <f>'Import Export'!E135</f>
        <v>42483.4</v>
      </c>
      <c r="H135" s="17">
        <v>3.99756</v>
      </c>
      <c r="I135" s="18">
        <v>98895.799999999988</v>
      </c>
    </row>
    <row r="136" spans="1:9">
      <c r="A136" s="16">
        <v>42460</v>
      </c>
      <c r="B136" s="17">
        <f>Inflation!C136</f>
        <v>99.1</v>
      </c>
      <c r="C136" s="17">
        <f>LOOKUP(A136,inrtpl_m_m[Data],inrtpl_m_m[Zamkniecie2])</f>
        <v>1.5</v>
      </c>
      <c r="D136" s="14">
        <v>1154736.0970000001</v>
      </c>
      <c r="E136" s="17">
        <f>'Industry Production'!C136</f>
        <v>107</v>
      </c>
      <c r="F136" s="17">
        <f>'Import Export'!D136</f>
        <v>52935.3</v>
      </c>
      <c r="G136" s="17">
        <f>'Import Export'!E136</f>
        <v>48187.9</v>
      </c>
      <c r="H136" s="17">
        <v>3.7281499999999999</v>
      </c>
      <c r="I136" s="18">
        <v>100530.7</v>
      </c>
    </row>
    <row r="137" spans="1:9">
      <c r="A137" s="16">
        <v>42490</v>
      </c>
      <c r="B137" s="17">
        <f>Inflation!C137</f>
        <v>98.9</v>
      </c>
      <c r="C137" s="17">
        <f>LOOKUP(A137,inrtpl_m_m[Data],inrtpl_m_m[Zamkniecie2])</f>
        <v>1.5</v>
      </c>
      <c r="D137" s="14">
        <v>1169793.673</v>
      </c>
      <c r="E137" s="17">
        <f>'Industry Production'!C137</f>
        <v>96.7</v>
      </c>
      <c r="F137" s="17">
        <f>'Import Export'!D137</f>
        <v>50553.5</v>
      </c>
      <c r="G137" s="17">
        <f>'Import Export'!E137</f>
        <v>44225.9</v>
      </c>
      <c r="H137" s="17">
        <v>3.8206000000000002</v>
      </c>
      <c r="I137" s="18">
        <v>105003.59999999999</v>
      </c>
    </row>
    <row r="138" spans="1:9">
      <c r="A138" s="16">
        <v>42521</v>
      </c>
      <c r="B138" s="17">
        <f>Inflation!C138</f>
        <v>99.1</v>
      </c>
      <c r="C138" s="17">
        <f>LOOKUP(A138,inrtpl_m_m[Data],inrtpl_m_m[Zamkniecie2])</f>
        <v>1.5</v>
      </c>
      <c r="D138" s="14">
        <v>1180640.1850000001</v>
      </c>
      <c r="E138" s="17">
        <f>'Industry Production'!C138</f>
        <v>96.1</v>
      </c>
      <c r="F138" s="17">
        <f>'Import Export'!D138</f>
        <v>52021.9</v>
      </c>
      <c r="G138" s="17">
        <f>'Import Export'!E138</f>
        <v>46415.3</v>
      </c>
      <c r="H138" s="17">
        <v>3.9410500000000002</v>
      </c>
      <c r="I138" s="18">
        <v>108016</v>
      </c>
    </row>
    <row r="139" spans="1:9">
      <c r="A139" s="16">
        <v>42551</v>
      </c>
      <c r="B139" s="17">
        <f>Inflation!C139</f>
        <v>99.2</v>
      </c>
      <c r="C139" s="17">
        <f>LOOKUP(A139,inrtpl_m_m[Data],inrtpl_m_m[Zamkniecie2])</f>
        <v>1.5</v>
      </c>
      <c r="D139" s="14">
        <v>1192033.5249999999</v>
      </c>
      <c r="E139" s="17">
        <f>'Industry Production'!C139</f>
        <v>107.3</v>
      </c>
      <c r="F139" s="17">
        <f>'Import Export'!D139</f>
        <v>51666.400000000001</v>
      </c>
      <c r="G139" s="17">
        <f>'Import Export'!E139</f>
        <v>45259.8</v>
      </c>
      <c r="H139" s="17">
        <v>3.9383300000000001</v>
      </c>
      <c r="I139" s="18">
        <v>110267.1</v>
      </c>
    </row>
    <row r="140" spans="1:9">
      <c r="A140" s="16">
        <v>42582</v>
      </c>
      <c r="B140" s="17">
        <f>Inflation!C140</f>
        <v>99.1</v>
      </c>
      <c r="C140" s="17">
        <f>LOOKUP(A140,inrtpl_m_m[Data],inrtpl_m_m[Zamkniecie2])</f>
        <v>1.5</v>
      </c>
      <c r="D140" s="14">
        <v>1194740.0209999999</v>
      </c>
      <c r="E140" s="17">
        <f>'Industry Production'!C140</f>
        <v>90</v>
      </c>
      <c r="F140" s="17">
        <f>'Import Export'!D140</f>
        <v>48956.6</v>
      </c>
      <c r="G140" s="17">
        <f>'Import Export'!E140</f>
        <v>42486.9</v>
      </c>
      <c r="H140" s="17">
        <v>3.89642</v>
      </c>
      <c r="I140" s="18">
        <v>109023.8</v>
      </c>
    </row>
    <row r="141" spans="1:9">
      <c r="A141" s="16">
        <v>42613</v>
      </c>
      <c r="B141" s="17">
        <f>Inflation!C141</f>
        <v>99.2</v>
      </c>
      <c r="C141" s="17">
        <f>LOOKUP(A141,inrtpl_m_m[Data],inrtpl_m_m[Zamkniecie2])</f>
        <v>1.5</v>
      </c>
      <c r="D141" s="14">
        <v>1195282.172</v>
      </c>
      <c r="E141" s="17">
        <f>'Industry Production'!C141</f>
        <v>103.3</v>
      </c>
      <c r="F141" s="17">
        <f>'Import Export'!D141</f>
        <v>51626.1</v>
      </c>
      <c r="G141" s="17">
        <f>'Import Export'!E141</f>
        <v>45945.9</v>
      </c>
      <c r="H141" s="17">
        <v>3.91011</v>
      </c>
      <c r="I141" s="18">
        <v>110015.9</v>
      </c>
    </row>
    <row r="142" spans="1:9">
      <c r="A142" s="16">
        <v>42643</v>
      </c>
      <c r="B142" s="17">
        <f>Inflation!C142</f>
        <v>99.5</v>
      </c>
      <c r="C142" s="17">
        <f>LOOKUP(A142,inrtpl_m_m[Data],inrtpl_m_m[Zamkniecie2])</f>
        <v>1.5</v>
      </c>
      <c r="D142" s="14">
        <v>1200629.672</v>
      </c>
      <c r="E142" s="17">
        <f>'Industry Production'!C142</f>
        <v>110.2</v>
      </c>
      <c r="F142" s="17">
        <f>'Import Export'!D142</f>
        <v>56269</v>
      </c>
      <c r="G142" s="17">
        <f>'Import Export'!E142</f>
        <v>52812.9</v>
      </c>
      <c r="H142" s="17">
        <v>3.82375</v>
      </c>
      <c r="I142" s="18">
        <v>111918.8</v>
      </c>
    </row>
    <row r="143" spans="1:9">
      <c r="A143" s="16">
        <v>42674</v>
      </c>
      <c r="B143" s="17">
        <f>Inflation!C143</f>
        <v>99.8</v>
      </c>
      <c r="C143" s="17">
        <f>LOOKUP(A143,inrtpl_m_m[Data],inrtpl_m_m[Zamkniecie2])</f>
        <v>1.5</v>
      </c>
      <c r="D143" s="14">
        <v>1208958.246</v>
      </c>
      <c r="E143" s="17">
        <f>'Industry Production'!C143</f>
        <v>97.6</v>
      </c>
      <c r="F143" s="17">
        <f>'Import Export'!D143</f>
        <v>56928.9</v>
      </c>
      <c r="G143" s="17">
        <f>'Import Export'!E143</f>
        <v>52071.3</v>
      </c>
      <c r="H143" s="17">
        <v>3.92543</v>
      </c>
      <c r="I143" s="18">
        <v>113029.8</v>
      </c>
    </row>
    <row r="144" spans="1:9">
      <c r="A144" s="16">
        <v>42704</v>
      </c>
      <c r="B144" s="17">
        <f>Inflation!C144</f>
        <v>100</v>
      </c>
      <c r="C144" s="17">
        <f>LOOKUP(A144,inrtpl_m_m[Data],inrtpl_m_m[Zamkniecie2])</f>
        <v>1.5</v>
      </c>
      <c r="D144" s="14">
        <v>1231173.0859999999</v>
      </c>
      <c r="E144" s="17">
        <f>'Industry Production'!C144</f>
        <v>101.8</v>
      </c>
      <c r="F144" s="17">
        <f>'Import Export'!D144</f>
        <v>57444.7</v>
      </c>
      <c r="G144" s="17">
        <f>'Import Export'!E144</f>
        <v>52126.2</v>
      </c>
      <c r="H144" s="17">
        <v>4.20465</v>
      </c>
      <c r="I144" s="18">
        <v>110843.09999999999</v>
      </c>
    </row>
    <row r="145" spans="1:9">
      <c r="A145" s="16">
        <v>42735</v>
      </c>
      <c r="B145" s="17">
        <f>Inflation!C145</f>
        <v>100.8</v>
      </c>
      <c r="C145" s="17">
        <f>LOOKUP(A145,inrtpl_m_m[Data],inrtpl_m_m[Zamkniecie2])</f>
        <v>1.5</v>
      </c>
      <c r="D145" s="14">
        <v>1256211.8600000001</v>
      </c>
      <c r="E145" s="17">
        <f>'Industry Production'!C145</f>
        <v>95.6</v>
      </c>
      <c r="F145" s="17">
        <f>'Import Export'!D145</f>
        <v>53458.9</v>
      </c>
      <c r="G145" s="17">
        <f>'Import Export'!E145</f>
        <v>46570.2</v>
      </c>
      <c r="H145" s="17">
        <v>4.1854699999999996</v>
      </c>
      <c r="I145" s="18">
        <v>114391.6</v>
      </c>
    </row>
    <row r="146" spans="1:9">
      <c r="A146" s="16">
        <v>42766</v>
      </c>
      <c r="B146" s="17">
        <f>Inflation!C146</f>
        <v>101.7</v>
      </c>
      <c r="C146" s="17">
        <f>LOOKUP(A146,inrtpl_m_m[Data],inrtpl_m_m[Zamkniecie2])</f>
        <v>1.5</v>
      </c>
      <c r="D146" s="14">
        <v>1238924.1910000001</v>
      </c>
      <c r="E146" s="17">
        <f>'Industry Production'!C146</f>
        <v>98.5</v>
      </c>
      <c r="F146" s="17">
        <f>'Import Export'!D146</f>
        <v>53761.2</v>
      </c>
      <c r="G146" s="17">
        <f>'Import Export'!E146</f>
        <v>48845.7</v>
      </c>
      <c r="H146" s="17">
        <v>4.0025700000000004</v>
      </c>
      <c r="I146" s="18">
        <v>113695</v>
      </c>
    </row>
    <row r="147" spans="1:9">
      <c r="A147" s="16">
        <v>42794</v>
      </c>
      <c r="B147" s="17">
        <f>Inflation!C147</f>
        <v>102.2</v>
      </c>
      <c r="C147" s="17">
        <f>LOOKUP(A147,inrtpl_m_m[Data],inrtpl_m_m[Zamkniecie2])</f>
        <v>1.5</v>
      </c>
      <c r="D147" s="14">
        <v>1244740.997</v>
      </c>
      <c r="E147" s="17">
        <f>'Industry Production'!C147</f>
        <v>98.9</v>
      </c>
      <c r="F147" s="17">
        <f>'Import Export'!D147</f>
        <v>53733</v>
      </c>
      <c r="G147" s="17">
        <f>'Import Export'!E147</f>
        <v>48144.7</v>
      </c>
      <c r="H147" s="17">
        <v>4.0721999999999996</v>
      </c>
      <c r="I147" s="18">
        <v>110809</v>
      </c>
    </row>
    <row r="148" spans="1:9">
      <c r="A148" s="16">
        <v>42825</v>
      </c>
      <c r="B148" s="17">
        <f>Inflation!C148</f>
        <v>102</v>
      </c>
      <c r="C148" s="17">
        <f>LOOKUP(A148,inrtpl_m_m[Data],inrtpl_m_m[Zamkniecie2])</f>
        <v>1.5</v>
      </c>
      <c r="D148" s="14">
        <v>1243238.909</v>
      </c>
      <c r="E148" s="17">
        <f>'Industry Production'!C148</f>
        <v>117.4</v>
      </c>
      <c r="F148" s="17">
        <f>'Import Export'!D148</f>
        <v>56073.5</v>
      </c>
      <c r="G148" s="17">
        <f>'Import Export'!E148</f>
        <v>51992.4</v>
      </c>
      <c r="H148" s="17">
        <v>3.9655499999999999</v>
      </c>
      <c r="I148" s="18">
        <v>111985</v>
      </c>
    </row>
    <row r="149" spans="1:9">
      <c r="A149" s="16">
        <v>42855</v>
      </c>
      <c r="B149" s="17">
        <f>Inflation!C149</f>
        <v>102</v>
      </c>
      <c r="C149" s="17">
        <f>LOOKUP(A149,inrtpl_m_m[Data],inrtpl_m_m[Zamkniecie2])</f>
        <v>1.5</v>
      </c>
      <c r="D149" s="14">
        <v>1246275.189</v>
      </c>
      <c r="E149" s="17">
        <f>'Industry Production'!C149</f>
        <v>86.7</v>
      </c>
      <c r="F149" s="17">
        <f>'Import Export'!D149</f>
        <v>52420.9</v>
      </c>
      <c r="G149" s="17">
        <f>'Import Export'!E149</f>
        <v>48472.3</v>
      </c>
      <c r="H149" s="17">
        <v>3.8792</v>
      </c>
      <c r="I149" s="18">
        <v>109417.9</v>
      </c>
    </row>
    <row r="150" spans="1:9">
      <c r="A150" s="16">
        <v>42886</v>
      </c>
      <c r="B150" s="17">
        <f>Inflation!C150</f>
        <v>101.9</v>
      </c>
      <c r="C150" s="17">
        <f>LOOKUP(A150,inrtpl_m_m[Data],inrtpl_m_m[Zamkniecie2])</f>
        <v>1.5</v>
      </c>
      <c r="D150" s="14">
        <v>1250680.325</v>
      </c>
      <c r="E150" s="17">
        <f>'Industry Production'!C150</f>
        <v>105.4</v>
      </c>
      <c r="F150" s="17">
        <f>'Import Export'!D150</f>
        <v>56373.599999999999</v>
      </c>
      <c r="G150" s="17">
        <f>'Import Export'!E150</f>
        <v>50777.599999999999</v>
      </c>
      <c r="H150" s="17">
        <v>3.7193399999999999</v>
      </c>
      <c r="I150" s="18">
        <v>109717.09999999999</v>
      </c>
    </row>
    <row r="151" spans="1:9">
      <c r="A151" s="16">
        <v>42916</v>
      </c>
      <c r="B151" s="17">
        <f>Inflation!C151</f>
        <v>101.5</v>
      </c>
      <c r="C151" s="17">
        <f>LOOKUP(A151,inrtpl_m_m[Data],inrtpl_m_m[Zamkniecie2])</f>
        <v>1.5</v>
      </c>
      <c r="D151" s="14">
        <v>1249015.2350000001</v>
      </c>
      <c r="E151" s="17">
        <f>'Industry Production'!C151</f>
        <v>102.6</v>
      </c>
      <c r="F151" s="17">
        <f>'Import Export'!D151</f>
        <v>54050.7</v>
      </c>
      <c r="G151" s="17">
        <f>'Import Export'!E151</f>
        <v>50567</v>
      </c>
      <c r="H151" s="17">
        <v>3.7054</v>
      </c>
      <c r="I151" s="18">
        <v>111723.1</v>
      </c>
    </row>
    <row r="152" spans="1:9">
      <c r="A152" s="16">
        <v>42947</v>
      </c>
      <c r="B152" s="17">
        <f>Inflation!C152</f>
        <v>101.7</v>
      </c>
      <c r="C152" s="17">
        <f>LOOKUP(A152,inrtpl_m_m[Data],inrtpl_m_m[Zamkniecie2])</f>
        <v>1.5</v>
      </c>
      <c r="D152" s="14">
        <v>1252247.8030000001</v>
      </c>
      <c r="E152" s="17">
        <f>'Industry Production'!C152</f>
        <v>91.6</v>
      </c>
      <c r="F152" s="17">
        <f>'Import Export'!D152</f>
        <v>53524</v>
      </c>
      <c r="G152" s="17">
        <f>'Import Export'!E152</f>
        <v>50395.5</v>
      </c>
      <c r="H152" s="17">
        <v>3.5947300000000002</v>
      </c>
      <c r="I152" s="18">
        <v>109785.5</v>
      </c>
    </row>
    <row r="153" spans="1:9">
      <c r="A153" s="16">
        <v>42978</v>
      </c>
      <c r="B153" s="17">
        <f>Inflation!C153</f>
        <v>101.8</v>
      </c>
      <c r="C153" s="17">
        <f>LOOKUP(A153,inrtpl_m_m[Data],inrtpl_m_m[Zamkniecie2])</f>
        <v>1.5</v>
      </c>
      <c r="D153" s="14">
        <v>1259261.618</v>
      </c>
      <c r="E153" s="17">
        <f>'Industry Production'!C153</f>
        <v>105.8</v>
      </c>
      <c r="F153" s="17">
        <f>'Import Export'!D153</f>
        <v>50452.5</v>
      </c>
      <c r="G153" s="17">
        <f>'Import Export'!E153</f>
        <v>48745.1</v>
      </c>
      <c r="H153" s="17">
        <v>3.5632000000000001</v>
      </c>
      <c r="I153" s="18">
        <v>109682.2</v>
      </c>
    </row>
    <row r="154" spans="1:9">
      <c r="A154" s="16">
        <v>43008</v>
      </c>
      <c r="B154" s="17">
        <f>Inflation!C154</f>
        <v>102.2</v>
      </c>
      <c r="C154" s="17">
        <f>LOOKUP(A154,inrtpl_m_m[Data],inrtpl_m_m[Zamkniecie2])</f>
        <v>1.5</v>
      </c>
      <c r="D154" s="14">
        <v>1266349.04</v>
      </c>
      <c r="E154" s="17">
        <f>'Industry Production'!C154</f>
        <v>105.7</v>
      </c>
      <c r="F154" s="17">
        <f>'Import Export'!D154</f>
        <v>53337</v>
      </c>
      <c r="G154" s="17">
        <f>'Import Export'!E154</f>
        <v>51874.1</v>
      </c>
      <c r="H154" s="17">
        <v>3.6489699999999998</v>
      </c>
      <c r="I154" s="18">
        <v>111350.7</v>
      </c>
    </row>
    <row r="155" spans="1:9">
      <c r="A155" s="16">
        <v>43039</v>
      </c>
      <c r="B155" s="17">
        <f>Inflation!C155</f>
        <v>102.1</v>
      </c>
      <c r="C155" s="17">
        <f>LOOKUP(A155,inrtpl_m_m[Data],inrtpl_m_m[Zamkniecie2])</f>
        <v>1.5</v>
      </c>
      <c r="D155" s="14">
        <v>1277419.0209999999</v>
      </c>
      <c r="E155" s="17">
        <f>'Industry Production'!C155</f>
        <v>105</v>
      </c>
      <c r="F155" s="17">
        <f>'Import Export'!D155</f>
        <v>58855.8</v>
      </c>
      <c r="G155" s="17">
        <f>'Import Export'!E155</f>
        <v>58036.2</v>
      </c>
      <c r="H155" s="17">
        <v>3.6386599999999998</v>
      </c>
      <c r="I155" s="18">
        <v>110639</v>
      </c>
    </row>
    <row r="156" spans="1:9">
      <c r="A156" s="16">
        <v>43069</v>
      </c>
      <c r="B156" s="17">
        <f>Inflation!C156</f>
        <v>102.5</v>
      </c>
      <c r="C156" s="17">
        <f>LOOKUP(A156,inrtpl_m_m[Data],inrtpl_m_m[Zamkniecie2])</f>
        <v>1.5</v>
      </c>
      <c r="D156" s="14">
        <v>1284960.2180000001</v>
      </c>
      <c r="E156" s="17">
        <f>'Industry Production'!C156</f>
        <v>98.9</v>
      </c>
      <c r="F156" s="17">
        <f>'Import Export'!D156</f>
        <v>57160.1</v>
      </c>
      <c r="G156" s="17">
        <f>'Import Export'!E156</f>
        <v>53780.4</v>
      </c>
      <c r="H156" s="17">
        <v>3.5347</v>
      </c>
      <c r="I156" s="18">
        <v>113377.40000000001</v>
      </c>
    </row>
    <row r="157" spans="1:9">
      <c r="A157" s="16">
        <v>43100</v>
      </c>
      <c r="B157" s="17">
        <f>Inflation!C157</f>
        <v>102.1</v>
      </c>
      <c r="C157" s="17">
        <f>LOOKUP(A157,inrtpl_m_m[Data],inrtpl_m_m[Zamkniecie2])</f>
        <v>1.5</v>
      </c>
      <c r="D157" s="14">
        <v>1312847.3189999999</v>
      </c>
      <c r="E157" s="17">
        <f>'Industry Production'!C157</f>
        <v>90</v>
      </c>
      <c r="F157" s="17">
        <f>'Import Export'!D157</f>
        <v>48385.3</v>
      </c>
      <c r="G157" s="17">
        <f>'Import Export'!E157</f>
        <v>41787.599999999999</v>
      </c>
      <c r="H157" s="17">
        <v>3.4803500000000001</v>
      </c>
      <c r="I157" s="18">
        <v>113278.90000000001</v>
      </c>
    </row>
    <row r="158" spans="1:9">
      <c r="A158" s="16">
        <v>43131</v>
      </c>
      <c r="B158" s="17">
        <f>Inflation!C158</f>
        <v>101.9</v>
      </c>
      <c r="C158" s="17">
        <f>LOOKUP(A158,inrtpl_m_m[Data],inrtpl_m_m[Zamkniecie2])</f>
        <v>1.5</v>
      </c>
      <c r="D158" s="14">
        <v>1296258.294</v>
      </c>
      <c r="E158" s="17">
        <f>'Industry Production'!C158</f>
        <v>104.1</v>
      </c>
      <c r="F158" s="17">
        <f>'Import Export'!D158</f>
        <v>51777.2</v>
      </c>
      <c r="G158" s="17">
        <f>'Import Export'!E158</f>
        <v>50197.9</v>
      </c>
      <c r="H158" s="17">
        <v>3.3454999999999999</v>
      </c>
      <c r="I158" s="18">
        <v>117539.59999999999</v>
      </c>
    </row>
    <row r="159" spans="1:9">
      <c r="A159" s="16">
        <v>43159</v>
      </c>
      <c r="B159" s="17">
        <f>Inflation!C159</f>
        <v>101.4</v>
      </c>
      <c r="C159" s="17">
        <f>LOOKUP(A159,inrtpl_m_m[Data],inrtpl_m_m[Zamkniecie2])</f>
        <v>1.5</v>
      </c>
      <c r="D159" s="14">
        <v>1303824.041</v>
      </c>
      <c r="E159" s="17">
        <f>'Industry Production'!C159</f>
        <v>97.7</v>
      </c>
      <c r="F159" s="17">
        <f>'Import Export'!D159</f>
        <v>50757.1</v>
      </c>
      <c r="G159" s="17">
        <f>'Import Export'!E159</f>
        <v>51233</v>
      </c>
      <c r="H159" s="17">
        <v>3.4248500000000002</v>
      </c>
      <c r="I159" s="18">
        <v>116050.2</v>
      </c>
    </row>
    <row r="160" spans="1:9">
      <c r="A160" s="16">
        <v>43190</v>
      </c>
      <c r="B160" s="17">
        <f>Inflation!C160</f>
        <v>101.3</v>
      </c>
      <c r="C160" s="17">
        <f>LOOKUP(A160,inrtpl_m_m[Data],inrtpl_m_m[Zamkniecie2])</f>
        <v>1.5</v>
      </c>
      <c r="D160" s="14">
        <v>1310701.665</v>
      </c>
      <c r="E160" s="17">
        <f>'Industry Production'!C160</f>
        <v>111.2</v>
      </c>
      <c r="F160" s="17">
        <f>'Import Export'!D160</f>
        <v>56339</v>
      </c>
      <c r="G160" s="17">
        <f>'Import Export'!E160</f>
        <v>52865.1</v>
      </c>
      <c r="H160" s="17">
        <v>3.4204500000000002</v>
      </c>
      <c r="I160" s="18">
        <v>119470.3</v>
      </c>
    </row>
    <row r="161" spans="1:9">
      <c r="A161" s="16">
        <v>43220</v>
      </c>
      <c r="B161" s="17">
        <f>Inflation!C161</f>
        <v>101.6</v>
      </c>
      <c r="C161" s="17">
        <f>LOOKUP(A161,inrtpl_m_m[Data],inrtpl_m_m[Zamkniecie2])</f>
        <v>1.5</v>
      </c>
      <c r="D161" s="14">
        <v>1313095.2690000001</v>
      </c>
      <c r="E161" s="17">
        <f>'Industry Production'!C161</f>
        <v>93.2</v>
      </c>
      <c r="F161" s="17">
        <f>'Import Export'!D161</f>
        <v>53298</v>
      </c>
      <c r="G161" s="17">
        <f>'Import Export'!E161</f>
        <v>54595.6</v>
      </c>
      <c r="H161" s="17">
        <v>3.5091700000000001</v>
      </c>
      <c r="I161" s="18">
        <v>113227.6</v>
      </c>
    </row>
    <row r="162" spans="1:9">
      <c r="A162" s="16">
        <v>43251</v>
      </c>
      <c r="B162" s="17">
        <f>Inflation!C162</f>
        <v>101.7</v>
      </c>
      <c r="C162" s="17">
        <f>LOOKUP(A162,inrtpl_m_m[Data],inrtpl_m_m[Zamkniecie2])</f>
        <v>1.5</v>
      </c>
      <c r="D162" s="14">
        <v>1331452.952</v>
      </c>
      <c r="E162" s="17">
        <f>'Industry Production'!C162</f>
        <v>101.4</v>
      </c>
      <c r="F162" s="17">
        <f>'Import Export'!D162</f>
        <v>52109.8</v>
      </c>
      <c r="G162" s="17">
        <f>'Import Export'!E162</f>
        <v>51014.3</v>
      </c>
      <c r="H162" s="17">
        <v>3.6924600000000001</v>
      </c>
      <c r="I162" s="18">
        <v>111759.2</v>
      </c>
    </row>
    <row r="163" spans="1:9">
      <c r="A163" s="16">
        <v>43281</v>
      </c>
      <c r="B163" s="17">
        <f>Inflation!C163</f>
        <v>102</v>
      </c>
      <c r="C163" s="17">
        <f>LOOKUP(A163,inrtpl_m_m[Data],inrtpl_m_m[Zamkniecie2])</f>
        <v>1.5</v>
      </c>
      <c r="D163" s="14">
        <v>1339105.6359999999</v>
      </c>
      <c r="E163" s="17">
        <f>'Industry Production'!C163</f>
        <v>104.2</v>
      </c>
      <c r="F163" s="17">
        <f>'Import Export'!D163</f>
        <v>53463.5</v>
      </c>
      <c r="G163" s="17">
        <f>'Import Export'!E163</f>
        <v>54495.8</v>
      </c>
      <c r="H163" s="17">
        <v>3.7456399999999999</v>
      </c>
      <c r="I163" s="18">
        <v>108969.5</v>
      </c>
    </row>
    <row r="164" spans="1:9">
      <c r="A164" s="16">
        <v>43312</v>
      </c>
      <c r="B164" s="17">
        <f>Inflation!C164</f>
        <v>102</v>
      </c>
      <c r="C164" s="17">
        <f>LOOKUP(A164,inrtpl_m_m[Data],inrtpl_m_m[Zamkniecie2])</f>
        <v>1.5</v>
      </c>
      <c r="D164" s="14">
        <v>1343164.219</v>
      </c>
      <c r="E164" s="17">
        <f>'Industry Production'!C164</f>
        <v>94.6</v>
      </c>
      <c r="F164" s="17">
        <f>'Import Export'!D164</f>
        <v>56547.3</v>
      </c>
      <c r="G164" s="17">
        <f>'Import Export'!E164</f>
        <v>55546.9</v>
      </c>
      <c r="H164" s="17">
        <v>3.6588799999999999</v>
      </c>
      <c r="I164" s="18">
        <v>112146</v>
      </c>
    </row>
    <row r="165" spans="1:9">
      <c r="A165" s="16">
        <v>43343</v>
      </c>
      <c r="B165" s="17">
        <f>Inflation!C165</f>
        <v>102</v>
      </c>
      <c r="C165" s="17">
        <f>LOOKUP(A165,inrtpl_m_m[Data],inrtpl_m_m[Zamkniecie2])</f>
        <v>1.5</v>
      </c>
      <c r="D165" s="14">
        <v>1352880.0160000001</v>
      </c>
      <c r="E165" s="17">
        <f>'Industry Production'!C165</f>
        <v>100.8</v>
      </c>
      <c r="F165" s="17">
        <f>'Import Export'!D165</f>
        <v>52500.3</v>
      </c>
      <c r="G165" s="17">
        <f>'Import Export'!E165</f>
        <v>52051.9</v>
      </c>
      <c r="H165" s="17">
        <v>3.7065100000000002</v>
      </c>
      <c r="I165" s="18">
        <v>113263</v>
      </c>
    </row>
    <row r="166" spans="1:9">
      <c r="A166" s="16">
        <v>43373</v>
      </c>
      <c r="B166" s="17">
        <f>Inflation!C166</f>
        <v>101.9</v>
      </c>
      <c r="C166" s="17">
        <f>LOOKUP(A166,inrtpl_m_m[Data],inrtpl_m_m[Zamkniecie2])</f>
        <v>1.5</v>
      </c>
      <c r="D166" s="14">
        <v>1359313.764</v>
      </c>
      <c r="E166" s="17">
        <f>'Industry Production'!C166</f>
        <v>103.3</v>
      </c>
      <c r="F166" s="17">
        <f>'Import Export'!D166</f>
        <v>57405.5</v>
      </c>
      <c r="G166" s="17">
        <f>'Import Export'!E166</f>
        <v>59090.6</v>
      </c>
      <c r="H166" s="17">
        <v>3.6865000000000001</v>
      </c>
      <c r="I166" s="18">
        <v>112880.2</v>
      </c>
    </row>
    <row r="167" spans="1:9">
      <c r="A167" s="16">
        <v>43404</v>
      </c>
      <c r="B167" s="17">
        <f>Inflation!C167</f>
        <v>101.8</v>
      </c>
      <c r="C167" s="17">
        <f>LOOKUP(A167,inrtpl_m_m[Data],inrtpl_m_m[Zamkniecie2])</f>
        <v>1.5</v>
      </c>
      <c r="D167" s="14">
        <v>1380484.551</v>
      </c>
      <c r="E167" s="17">
        <f>'Industry Production'!C167</f>
        <v>109.9</v>
      </c>
      <c r="F167" s="17">
        <f>'Import Export'!D167</f>
        <v>62871.1</v>
      </c>
      <c r="G167" s="17">
        <f>'Import Export'!E167</f>
        <v>61895</v>
      </c>
      <c r="H167" s="17">
        <v>3.83704</v>
      </c>
      <c r="I167" s="18">
        <v>111416.50000000001</v>
      </c>
    </row>
    <row r="168" spans="1:9">
      <c r="A168" s="16">
        <v>43434</v>
      </c>
      <c r="B168" s="17">
        <f>Inflation!C168</f>
        <v>101.3</v>
      </c>
      <c r="C168" s="17">
        <f>LOOKUP(A168,inrtpl_m_m[Data],inrtpl_m_m[Zamkniecie2])</f>
        <v>1.5</v>
      </c>
      <c r="D168" s="14">
        <v>1395254.1669999999</v>
      </c>
      <c r="E168" s="17">
        <f>'Industry Production'!C168</f>
        <v>96.3</v>
      </c>
      <c r="F168" s="17">
        <f>'Import Export'!D168</f>
        <v>58468.3</v>
      </c>
      <c r="G168" s="17">
        <f>'Import Export'!E168</f>
        <v>56863.8</v>
      </c>
      <c r="H168" s="17">
        <v>3.7911700000000002</v>
      </c>
      <c r="I168" s="18">
        <v>113835</v>
      </c>
    </row>
    <row r="169" spans="1:9">
      <c r="A169" s="16">
        <v>43465</v>
      </c>
      <c r="B169" s="17">
        <f>Inflation!C169</f>
        <v>101.1</v>
      </c>
      <c r="C169" s="17">
        <f>LOOKUP(A169,inrtpl_m_m[Data],inrtpl_m_m[Zamkniecie2])</f>
        <v>1.5</v>
      </c>
      <c r="D169" s="14">
        <v>1428233.2050000001</v>
      </c>
      <c r="E169" s="17">
        <f>'Industry Production'!C169</f>
        <v>88.5</v>
      </c>
      <c r="F169" s="17">
        <f>'Import Export'!D169</f>
        <v>50561.1</v>
      </c>
      <c r="G169" s="17">
        <f>'Import Export'!E169</f>
        <v>48028.9</v>
      </c>
      <c r="H169" s="17">
        <v>3.74105</v>
      </c>
      <c r="I169" s="18">
        <v>116964.6</v>
      </c>
    </row>
    <row r="170" spans="1:9">
      <c r="A170" s="16">
        <v>43496</v>
      </c>
      <c r="B170" s="17">
        <f>Inflation!C170</f>
        <v>100.7</v>
      </c>
      <c r="C170" s="17">
        <f>LOOKUP(A170,inrtpl_m_m[Data],inrtpl_m_m[Zamkniecie2])</f>
        <v>1.5</v>
      </c>
      <c r="D170" s="14">
        <v>1410808.436</v>
      </c>
      <c r="E170" s="17">
        <f>'Industry Production'!C170</f>
        <v>107.3</v>
      </c>
      <c r="F170" s="17">
        <f>'Import Export'!D170</f>
        <v>56454.5</v>
      </c>
      <c r="G170" s="17">
        <f>'Import Export'!E170</f>
        <v>56030.8</v>
      </c>
      <c r="H170" s="17">
        <v>3.7236500000000001</v>
      </c>
      <c r="I170" s="18">
        <v>113676.2</v>
      </c>
    </row>
    <row r="171" spans="1:9">
      <c r="A171" s="16">
        <v>43524</v>
      </c>
      <c r="B171" s="17">
        <f>Inflation!C171</f>
        <v>101.2</v>
      </c>
      <c r="C171" s="17">
        <f>LOOKUP(A171,inrtpl_m_m[Data],inrtpl_m_m[Zamkniecie2])</f>
        <v>1.5</v>
      </c>
      <c r="D171" s="14">
        <v>1430989.398</v>
      </c>
      <c r="E171" s="17">
        <f>'Industry Production'!C171</f>
        <v>98.5</v>
      </c>
      <c r="F171" s="17">
        <f>'Import Export'!D171</f>
        <v>55023.8</v>
      </c>
      <c r="G171" s="17">
        <f>'Import Export'!E171</f>
        <v>54454.7</v>
      </c>
      <c r="H171" s="17">
        <v>3.7850000000000001</v>
      </c>
      <c r="I171" s="18">
        <v>112485.70000000001</v>
      </c>
    </row>
    <row r="172" spans="1:9">
      <c r="A172" s="16">
        <v>43555</v>
      </c>
      <c r="B172" s="17">
        <f>Inflation!C172</f>
        <v>101.7</v>
      </c>
      <c r="C172" s="17">
        <f>LOOKUP(A172,inrtpl_m_m[Data],inrtpl_m_m[Zamkniecie2])</f>
        <v>1.5</v>
      </c>
      <c r="D172" s="14">
        <v>1442834.344</v>
      </c>
      <c r="E172" s="17">
        <f>'Industry Production'!C172</f>
        <v>109.9</v>
      </c>
      <c r="F172" s="17">
        <f>'Import Export'!D172</f>
        <v>59925.7</v>
      </c>
      <c r="G172" s="17">
        <f>'Import Export'!E172</f>
        <v>58898.1</v>
      </c>
      <c r="H172" s="17">
        <v>3.83745</v>
      </c>
      <c r="I172" s="18">
        <v>112943.09999999999</v>
      </c>
    </row>
    <row r="173" spans="1:9">
      <c r="A173" s="16">
        <v>43585</v>
      </c>
      <c r="B173" s="17">
        <f>Inflation!C173</f>
        <v>102.2</v>
      </c>
      <c r="C173" s="17">
        <f>LOOKUP(A173,inrtpl_m_m[Data],inrtpl_m_m[Zamkniecie2])</f>
        <v>1.5</v>
      </c>
      <c r="D173" s="14">
        <v>1453094.8389999999</v>
      </c>
      <c r="E173" s="17">
        <f>'Industry Production'!C173</f>
        <v>96.4</v>
      </c>
      <c r="F173" s="17">
        <f>'Import Export'!D173</f>
        <v>58365.2</v>
      </c>
      <c r="G173" s="17">
        <f>'Import Export'!E173</f>
        <v>59029</v>
      </c>
      <c r="H173" s="17">
        <v>3.8215499999999998</v>
      </c>
      <c r="I173" s="18">
        <v>117016.7</v>
      </c>
    </row>
    <row r="174" spans="1:9">
      <c r="A174" s="16">
        <v>43616</v>
      </c>
      <c r="B174" s="17">
        <f>Inflation!C174</f>
        <v>102.4</v>
      </c>
      <c r="C174" s="17">
        <f>LOOKUP(A174,inrtpl_m_m[Data],inrtpl_m_m[Zamkniecie2])</f>
        <v>1.5</v>
      </c>
      <c r="D174" s="14">
        <v>1467430.9169999999</v>
      </c>
      <c r="E174" s="17">
        <f>'Industry Production'!C174</f>
        <v>100</v>
      </c>
      <c r="F174" s="17">
        <f>'Import Export'!D174</f>
        <v>59027.7</v>
      </c>
      <c r="G174" s="17">
        <f>'Import Export'!E174</f>
        <v>56910.6</v>
      </c>
      <c r="H174" s="17">
        <v>3.8327100000000001</v>
      </c>
      <c r="I174" s="18">
        <v>118619.2</v>
      </c>
    </row>
    <row r="175" spans="1:9">
      <c r="A175" s="16">
        <v>43646</v>
      </c>
      <c r="B175" s="17">
        <f>Inflation!C175</f>
        <v>102.6</v>
      </c>
      <c r="C175" s="17">
        <f>LOOKUP(A175,inrtpl_m_m[Data],inrtpl_m_m[Zamkniecie2])</f>
        <v>1.5</v>
      </c>
      <c r="D175" s="14">
        <v>1465475.351</v>
      </c>
      <c r="E175" s="17">
        <f>'Industry Production'!C175</f>
        <v>94.2</v>
      </c>
      <c r="F175" s="17">
        <f>'Import Export'!D175</f>
        <v>57100.5</v>
      </c>
      <c r="G175" s="17">
        <f>'Import Export'!E175</f>
        <v>56521.4</v>
      </c>
      <c r="H175" s="17">
        <v>3.7336</v>
      </c>
      <c r="I175" s="18">
        <v>117801.09999999999</v>
      </c>
    </row>
    <row r="176" spans="1:9">
      <c r="A176" s="16">
        <v>43677</v>
      </c>
      <c r="B176" s="17">
        <f>Inflation!C176</f>
        <v>102.9</v>
      </c>
      <c r="C176" s="17">
        <f>LOOKUP(A176,inrtpl_m_m[Data],inrtpl_m_m[Zamkniecie2])</f>
        <v>1.5</v>
      </c>
      <c r="D176" s="14">
        <v>1476692.523</v>
      </c>
      <c r="E176" s="17">
        <f>'Industry Production'!C176</f>
        <v>102.8</v>
      </c>
      <c r="F176" s="17">
        <f>'Import Export'!D176</f>
        <v>59524.5</v>
      </c>
      <c r="G176" s="17">
        <f>'Import Export'!E176</f>
        <v>57391.5</v>
      </c>
      <c r="H176" s="17">
        <v>3.8750499999999999</v>
      </c>
      <c r="I176" s="18">
        <v>116528.9</v>
      </c>
    </row>
    <row r="177" spans="1:9">
      <c r="A177" s="16">
        <v>43708</v>
      </c>
      <c r="B177" s="17">
        <f>Inflation!C177</f>
        <v>102.9</v>
      </c>
      <c r="C177" s="17">
        <f>LOOKUP(A177,inrtpl_m_m[Data],inrtpl_m_m[Zamkniecie2])</f>
        <v>1.5</v>
      </c>
      <c r="D177" s="14">
        <v>1488482.189</v>
      </c>
      <c r="E177" s="17">
        <f>'Industry Production'!C177</f>
        <v>93.9</v>
      </c>
      <c r="F177" s="17">
        <f>'Import Export'!D177</f>
        <v>52454.2</v>
      </c>
      <c r="G177" s="17">
        <f>'Import Export'!E177</f>
        <v>50637.4</v>
      </c>
      <c r="H177" s="17">
        <v>3.98041</v>
      </c>
      <c r="I177" s="18">
        <v>116609</v>
      </c>
    </row>
    <row r="178" spans="1:9">
      <c r="A178" s="16">
        <v>43738</v>
      </c>
      <c r="B178" s="17">
        <f>Inflation!C178</f>
        <v>102.6</v>
      </c>
      <c r="C178" s="17">
        <f>LOOKUP(A178,inrtpl_m_m[Data],inrtpl_m_m[Zamkniecie2])</f>
        <v>1.5</v>
      </c>
      <c r="D178" s="14">
        <v>1495863.7849999999</v>
      </c>
      <c r="E178" s="17">
        <f>'Industry Production'!C178</f>
        <v>110.8</v>
      </c>
      <c r="F178" s="17">
        <f>'Import Export'!D178</f>
        <v>61593.1</v>
      </c>
      <c r="G178" s="17">
        <f>'Import Export'!E178</f>
        <v>62470.7</v>
      </c>
      <c r="H178" s="17">
        <v>4.0105599999999999</v>
      </c>
      <c r="I178" s="18">
        <v>120872</v>
      </c>
    </row>
    <row r="179" spans="1:9">
      <c r="A179" s="16">
        <v>43769</v>
      </c>
      <c r="B179" s="17">
        <f>Inflation!C179</f>
        <v>102.5</v>
      </c>
      <c r="C179" s="17">
        <f>LOOKUP(A179,inrtpl_m_m[Data],inrtpl_m_m[Zamkniecie2])</f>
        <v>1.5</v>
      </c>
      <c r="D179" s="14">
        <v>1511907.37</v>
      </c>
      <c r="E179" s="17">
        <f>'Industry Production'!C179</f>
        <v>107.9</v>
      </c>
      <c r="F179" s="17">
        <f>'Import Export'!D179</f>
        <v>66345.8</v>
      </c>
      <c r="G179" s="17">
        <f>'Import Export'!E179</f>
        <v>65554.3</v>
      </c>
      <c r="H179" s="17">
        <v>3.82239</v>
      </c>
      <c r="I179" s="18">
        <v>121900.59999999999</v>
      </c>
    </row>
    <row r="180" spans="1:9">
      <c r="A180" s="16">
        <v>43799</v>
      </c>
      <c r="B180" s="17">
        <f>Inflation!C180</f>
        <v>102.6</v>
      </c>
      <c r="C180" s="17">
        <f>LOOKUP(A180,inrtpl_m_m[Data],inrtpl_m_m[Zamkniecie2])</f>
        <v>1.5</v>
      </c>
      <c r="D180" s="14">
        <v>1530381.4369999999</v>
      </c>
      <c r="E180" s="17">
        <f>'Industry Production'!C180</f>
        <v>94.2</v>
      </c>
      <c r="F180" s="17">
        <f>'Import Export'!D180</f>
        <v>62043.8</v>
      </c>
      <c r="G180" s="17">
        <f>'Import Export'!E180</f>
        <v>61273.5</v>
      </c>
      <c r="H180" s="17">
        <v>3.9161999999999999</v>
      </c>
      <c r="I180" s="18">
        <v>119829.4</v>
      </c>
    </row>
    <row r="181" spans="1:9">
      <c r="A181" s="16">
        <v>43830</v>
      </c>
      <c r="B181" s="17">
        <f>Inflation!C181</f>
        <v>103.4</v>
      </c>
      <c r="C181" s="17">
        <f>LOOKUP(A181,inrtpl_m_m[Data],inrtpl_m_m[Zamkniecie2])</f>
        <v>1.5</v>
      </c>
      <c r="D181" s="14">
        <v>1552647.8929999999</v>
      </c>
      <c r="E181" s="17">
        <f>'Industry Production'!C181</f>
        <v>90.6</v>
      </c>
      <c r="F181" s="17">
        <f>'Import Export'!D181</f>
        <v>56708.7</v>
      </c>
      <c r="G181" s="17">
        <f>'Import Export'!E181</f>
        <v>54299.6</v>
      </c>
      <c r="H181" s="17">
        <v>3.7938000000000001</v>
      </c>
      <c r="I181" s="18">
        <v>128405</v>
      </c>
    </row>
    <row r="182" spans="1:9">
      <c r="A182" s="16">
        <v>43861</v>
      </c>
      <c r="B182" s="17">
        <f>Inflation!C182</f>
        <v>104.3</v>
      </c>
      <c r="C182" s="17">
        <f>LOOKUP(A182,inrtpl_m_m[Data],inrtpl_m_m[Zamkniecie2])</f>
        <v>1.5</v>
      </c>
      <c r="D182" s="14">
        <v>1546994.5279999999</v>
      </c>
      <c r="E182" s="17">
        <f>'Industry Production'!C182</f>
        <v>104.5</v>
      </c>
      <c r="F182" s="17">
        <f>'Import Export'!D182</f>
        <v>57030.8</v>
      </c>
      <c r="G182" s="17">
        <f>'Import Export'!E182</f>
        <v>59079</v>
      </c>
      <c r="H182" s="17">
        <v>3.8743599999999998</v>
      </c>
      <c r="I182" s="18">
        <v>125457.1</v>
      </c>
    </row>
    <row r="183" spans="1:9">
      <c r="A183" s="16">
        <v>43890</v>
      </c>
      <c r="B183" s="17">
        <f>Inflation!C183</f>
        <v>104.7</v>
      </c>
      <c r="C183" s="17">
        <f>LOOKUP(A183,inrtpl_m_m[Data],inrtpl_m_m[Zamkniecie2])</f>
        <v>1.5</v>
      </c>
      <c r="D183" s="14">
        <v>1569329.13</v>
      </c>
      <c r="E183" s="17">
        <f>'Industry Production'!C183</f>
        <v>102.2</v>
      </c>
      <c r="F183" s="17">
        <f>'Import Export'!D183</f>
        <v>57402.1</v>
      </c>
      <c r="G183" s="17">
        <f>'Import Export'!E183</f>
        <v>59866.7</v>
      </c>
      <c r="H183" s="17">
        <v>3.92137</v>
      </c>
      <c r="I183" s="18">
        <v>128182.1</v>
      </c>
    </row>
    <row r="184" spans="1:9">
      <c r="A184" s="16">
        <v>43921</v>
      </c>
      <c r="B184" s="17">
        <f>Inflation!C184</f>
        <v>104.6</v>
      </c>
      <c r="C184" s="17">
        <f>LOOKUP(A184,inrtpl_m_m[Data],inrtpl_m_m[Zamkniecie2])</f>
        <v>1</v>
      </c>
      <c r="D184" s="14">
        <v>1617386.2660000001</v>
      </c>
      <c r="E184" s="17">
        <f>'Industry Production'!C184</f>
        <v>102.2</v>
      </c>
      <c r="F184" s="17">
        <f>'Import Export'!D184</f>
        <v>64269.2</v>
      </c>
      <c r="G184" s="17">
        <f>'Import Export'!E184</f>
        <v>66087</v>
      </c>
      <c r="H184" s="17">
        <v>4.1321599999999998</v>
      </c>
      <c r="I184" s="18">
        <v>120893.6</v>
      </c>
    </row>
    <row r="185" spans="1:9">
      <c r="A185" s="16">
        <v>43951</v>
      </c>
      <c r="B185" s="17">
        <f>Inflation!C185</f>
        <v>103.4</v>
      </c>
      <c r="C185" s="17">
        <f>LOOKUP(A185,inrtpl_m_m[Data],inrtpl_m_m[Zamkniecie2])</f>
        <v>0.5</v>
      </c>
      <c r="D185" s="14">
        <v>1666812.29</v>
      </c>
      <c r="E185" s="17">
        <f>'Industry Production'!C185</f>
        <v>74.5</v>
      </c>
      <c r="F185" s="17">
        <f>'Import Export'!D185</f>
        <v>61125.9</v>
      </c>
      <c r="G185" s="17">
        <f>'Import Export'!E185</f>
        <v>60697.3</v>
      </c>
      <c r="H185" s="17">
        <v>4.1494600000000004</v>
      </c>
      <c r="I185" s="18">
        <v>118263.8</v>
      </c>
    </row>
    <row r="186" spans="1:9">
      <c r="A186" s="16">
        <v>43982</v>
      </c>
      <c r="B186" s="17">
        <f>Inflation!C186</f>
        <v>102.9</v>
      </c>
      <c r="C186" s="17">
        <f>LOOKUP(A186,inrtpl_m_m[Data],inrtpl_m_m[Zamkniecie2])</f>
        <v>0.1</v>
      </c>
      <c r="D186" s="14">
        <v>1712512.395</v>
      </c>
      <c r="E186" s="17">
        <f>'Industry Production'!C186</f>
        <v>110.3</v>
      </c>
      <c r="F186" s="17">
        <f>'Import Export'!D186</f>
        <v>57414.1</v>
      </c>
      <c r="G186" s="17">
        <f>'Import Export'!E186</f>
        <v>60056.4</v>
      </c>
      <c r="H186" s="17">
        <v>4.0070899999999998</v>
      </c>
      <c r="I186" s="18">
        <v>132787.70000000001</v>
      </c>
    </row>
    <row r="187" spans="1:9">
      <c r="A187" s="16">
        <v>44012</v>
      </c>
      <c r="B187" s="17">
        <f>Inflation!C187</f>
        <v>103.3</v>
      </c>
      <c r="C187" s="17">
        <f>LOOKUP(A187,inrtpl_m_m[Data],inrtpl_m_m[Zamkniecie2])</f>
        <v>0.1</v>
      </c>
      <c r="D187" s="14">
        <v>1739330.112</v>
      </c>
      <c r="E187" s="17">
        <f>'Industry Production'!C187</f>
        <v>113.9</v>
      </c>
      <c r="F187" s="17">
        <f>'Import Export'!D187</f>
        <v>62907.7</v>
      </c>
      <c r="G187" s="17">
        <f>'Import Export'!E187</f>
        <v>63477.599999999999</v>
      </c>
      <c r="H187" s="17">
        <v>3.9588700000000001</v>
      </c>
      <c r="I187" s="18">
        <v>129087.8</v>
      </c>
    </row>
    <row r="188" spans="1:9">
      <c r="A188" s="16">
        <v>44043</v>
      </c>
      <c r="B188" s="17">
        <f>Inflation!C188</f>
        <v>103</v>
      </c>
      <c r="C188" s="17">
        <f>LOOKUP(A188,inrtpl_m_m[Data],inrtpl_m_m[Zamkniecie2])</f>
        <v>0.5</v>
      </c>
      <c r="D188" s="14">
        <v>1733221.1470000001</v>
      </c>
      <c r="E188" s="17">
        <f>'Industry Production'!C188</f>
        <v>103.4</v>
      </c>
      <c r="F188" s="17">
        <f>'Import Export'!D188</f>
        <v>63813</v>
      </c>
      <c r="G188" s="17">
        <f>'Import Export'!E188</f>
        <v>61858.2</v>
      </c>
      <c r="H188" s="17">
        <v>3.7448199999999998</v>
      </c>
      <c r="I188" s="18">
        <v>137674.1</v>
      </c>
    </row>
    <row r="189" spans="1:9">
      <c r="A189" s="16">
        <v>44074</v>
      </c>
      <c r="B189" s="17">
        <f>Inflation!C189</f>
        <v>102.9</v>
      </c>
      <c r="C189" s="17">
        <f>LOOKUP(A189,inrtpl_m_m[Data],inrtpl_m_m[Zamkniecie2])</f>
        <v>0.5</v>
      </c>
      <c r="D189" s="14">
        <v>1736424.1850000001</v>
      </c>
      <c r="E189" s="17">
        <f>'Industry Production'!C189</f>
        <v>94.3</v>
      </c>
      <c r="F189" s="17">
        <f>'Import Export'!D189</f>
        <v>56835.9</v>
      </c>
      <c r="G189" s="17">
        <f>'Import Export'!E189</f>
        <v>56006.2</v>
      </c>
      <c r="H189" s="17">
        <v>3.68275</v>
      </c>
      <c r="I189" s="18">
        <v>139111.5</v>
      </c>
    </row>
    <row r="190" spans="1:9">
      <c r="A190" s="16">
        <v>44104</v>
      </c>
      <c r="B190" s="17">
        <f>Inflation!C190</f>
        <v>103.2</v>
      </c>
      <c r="C190" s="17">
        <f>LOOKUP(A190,inrtpl_m_m[Data],inrtpl_m_m[Zamkniecie2])</f>
        <v>0.5</v>
      </c>
      <c r="D190" s="14">
        <v>1754840.9920000001</v>
      </c>
      <c r="E190" s="17">
        <f>'Industry Production'!C190</f>
        <v>115.3</v>
      </c>
      <c r="F190" s="17">
        <f>'Import Export'!D190</f>
        <v>66435.3</v>
      </c>
      <c r="G190" s="17">
        <f>'Import Export'!E190</f>
        <v>67099.8</v>
      </c>
      <c r="H190" s="17">
        <v>3.8632499999999999</v>
      </c>
      <c r="I190" s="18">
        <v>139496</v>
      </c>
    </row>
    <row r="191" spans="1:9">
      <c r="A191" s="16">
        <v>44135</v>
      </c>
      <c r="B191" s="17">
        <f>Inflation!C191</f>
        <v>103.1</v>
      </c>
      <c r="C191" s="17">
        <f>LOOKUP(A191,inrtpl_m_m[Data],inrtpl_m_m[Zamkniecie2])</f>
        <v>0.5</v>
      </c>
      <c r="D191" s="14">
        <v>1775038.7420000001</v>
      </c>
      <c r="E191" s="17">
        <f>'Industry Production'!C191</f>
        <v>103.1</v>
      </c>
      <c r="F191" s="17">
        <f>'Import Export'!D191</f>
        <v>67425.7</v>
      </c>
      <c r="G191" s="17">
        <f>'Import Export'!E191</f>
        <v>69393.8</v>
      </c>
      <c r="H191" s="17">
        <v>3.9548399999999999</v>
      </c>
      <c r="I191" s="18">
        <v>143116.6</v>
      </c>
    </row>
    <row r="192" spans="1:9">
      <c r="A192" s="16">
        <v>44165</v>
      </c>
      <c r="B192" s="17">
        <f>Inflation!C192</f>
        <v>103</v>
      </c>
      <c r="C192" s="17">
        <f>LOOKUP(A192,inrtpl_m_m[Data],inrtpl_m_m[Zamkniecie2])</f>
        <v>0.5</v>
      </c>
      <c r="D192" s="14">
        <v>1783814.551</v>
      </c>
      <c r="E192" s="17">
        <f>'Industry Production'!C192</f>
        <v>98.4</v>
      </c>
      <c r="F192" s="17">
        <f>'Import Export'!D192</f>
        <v>66370</v>
      </c>
      <c r="G192" s="17">
        <f>'Import Export'!E192</f>
        <v>66998.7</v>
      </c>
      <c r="H192" s="17">
        <v>3.7541000000000002</v>
      </c>
      <c r="I192" s="18">
        <v>144412.5</v>
      </c>
    </row>
    <row r="193" spans="1:9">
      <c r="A193" s="16">
        <v>44196</v>
      </c>
      <c r="B193" s="17">
        <f>Inflation!C193</f>
        <v>102.4</v>
      </c>
      <c r="C193" s="17">
        <f>LOOKUP(A193,inrtpl_m_m[Data],inrtpl_m_m[Zamkniecie2])</f>
        <v>1</v>
      </c>
      <c r="D193" s="14">
        <v>1814748.8729999999</v>
      </c>
      <c r="E193" s="17">
        <f>'Industry Production'!C193</f>
        <v>95.5</v>
      </c>
      <c r="F193" s="17">
        <f>'Import Export'!D193</f>
        <v>59943.6</v>
      </c>
      <c r="G193" s="17">
        <f>'Import Export'!E193</f>
        <v>60215.6</v>
      </c>
      <c r="H193" s="17">
        <v>3.7345999999999999</v>
      </c>
      <c r="I193" s="18">
        <v>154246.20000000001</v>
      </c>
    </row>
    <row r="194" spans="1:9">
      <c r="A194" s="16">
        <v>44227</v>
      </c>
      <c r="B194" s="17">
        <f>Inflation!C194</f>
        <v>102.6</v>
      </c>
      <c r="C194" s="17">
        <f>LOOKUP(A194,inrtpl_m_m[Data],inrtpl_m_m[Zamkniecie2])</f>
        <v>0.1</v>
      </c>
      <c r="D194" s="14">
        <v>1812420.6359999999</v>
      </c>
      <c r="E194" s="17">
        <f>'Industry Production'!C194</f>
        <v>94.6</v>
      </c>
      <c r="F194" s="17">
        <f>'Import Export'!D194</f>
        <v>58015.1</v>
      </c>
      <c r="G194" s="17">
        <f>'Import Export'!E194</f>
        <v>60048</v>
      </c>
      <c r="H194" s="17">
        <v>3.72404</v>
      </c>
      <c r="I194" s="18">
        <v>157298.5</v>
      </c>
    </row>
    <row r="195" spans="1:9">
      <c r="A195" s="16">
        <v>44255</v>
      </c>
      <c r="B195" s="17">
        <f>Inflation!C195</f>
        <v>102.4</v>
      </c>
      <c r="C195" s="17">
        <f>LOOKUP(A195,inrtpl_m_m[Data],inrtpl_m_m[Zamkniecie2])</f>
        <v>0.1</v>
      </c>
      <c r="D195" s="14">
        <v>1829434.6029999999</v>
      </c>
      <c r="E195" s="17">
        <f>'Industry Production'!C195</f>
        <v>104</v>
      </c>
      <c r="F195" s="17">
        <f>'Import Export'!D195</f>
        <v>64223.6</v>
      </c>
      <c r="G195" s="17">
        <f>'Import Export'!E195</f>
        <v>65693.5</v>
      </c>
      <c r="H195" s="17">
        <v>3.7465999999999999</v>
      </c>
      <c r="I195" s="18">
        <v>163448.80000000002</v>
      </c>
    </row>
    <row r="196" spans="1:9">
      <c r="A196" s="16">
        <v>44286</v>
      </c>
      <c r="B196" s="17">
        <f>Inflation!C196</f>
        <v>103.2</v>
      </c>
      <c r="C196" s="17">
        <f>LOOKUP(A196,inrtpl_m_m[Data],inrtpl_m_m[Zamkniecie2])</f>
        <v>0.1</v>
      </c>
      <c r="D196" s="14">
        <v>1856144.7290000001</v>
      </c>
      <c r="E196" s="17">
        <f>'Industry Production'!C196</f>
        <v>118.2</v>
      </c>
      <c r="F196" s="17">
        <f>'Import Export'!D196</f>
        <v>66715.5</v>
      </c>
      <c r="G196" s="17">
        <f>'Import Export'!E196</f>
        <v>68288.2</v>
      </c>
      <c r="H196" s="17">
        <v>3.9498799999999998</v>
      </c>
      <c r="I196" s="18">
        <v>158351.5</v>
      </c>
    </row>
    <row r="197" spans="1:9">
      <c r="A197" s="16">
        <v>44316</v>
      </c>
      <c r="B197" s="17">
        <f>Inflation!C197</f>
        <v>104.3</v>
      </c>
      <c r="C197" s="17">
        <f>LOOKUP(A197,inrtpl_m_m[Data],inrtpl_m_m[Zamkniecie2])</f>
        <v>0.1</v>
      </c>
      <c r="D197" s="14">
        <v>1854364.1070000001</v>
      </c>
      <c r="E197" s="17">
        <f>'Industry Production'!C197</f>
        <v>90.6</v>
      </c>
      <c r="F197" s="17">
        <f>'Import Export'!D197</f>
        <v>65315.6</v>
      </c>
      <c r="G197" s="17">
        <f>'Import Export'!E197</f>
        <v>67421.7</v>
      </c>
      <c r="H197" s="17">
        <v>3.79148</v>
      </c>
      <c r="I197" s="18">
        <v>155667.1</v>
      </c>
    </row>
    <row r="198" spans="1:9">
      <c r="A198" s="16">
        <v>44347</v>
      </c>
      <c r="B198" s="17">
        <f>Inflation!C198</f>
        <v>104.7</v>
      </c>
      <c r="C198" s="17">
        <f>LOOKUP(A198,inrtpl_m_m[Data],inrtpl_m_m[Zamkniecie2])</f>
        <v>0.1</v>
      </c>
      <c r="D198" s="14">
        <v>1866430.196</v>
      </c>
      <c r="E198" s="17">
        <f>'Industry Production'!C198</f>
        <v>99.1</v>
      </c>
      <c r="F198" s="17">
        <f>'Import Export'!D198</f>
        <v>63554.5</v>
      </c>
      <c r="G198" s="17">
        <f>'Import Export'!E198</f>
        <v>66092.2</v>
      </c>
      <c r="H198" s="17">
        <v>3.66317</v>
      </c>
      <c r="I198" s="18">
        <v>162734.1</v>
      </c>
    </row>
    <row r="199" spans="1:9">
      <c r="A199" s="16">
        <v>44377</v>
      </c>
      <c r="B199" s="17">
        <f>Inflation!C199</f>
        <v>104.4</v>
      </c>
      <c r="C199" s="17">
        <f>LOOKUP(A199,inrtpl_m_m[Data],inrtpl_m_m[Zamkniecie2])</f>
        <v>0.1</v>
      </c>
      <c r="D199" s="14">
        <v>1869644.469</v>
      </c>
      <c r="E199" s="17">
        <f>'Industry Production'!C199</f>
        <v>103.8</v>
      </c>
      <c r="F199" s="17">
        <f>'Import Export'!D199</f>
        <v>66706.100000000006</v>
      </c>
      <c r="G199" s="17">
        <f>'Import Export'!E199</f>
        <v>69818.399999999994</v>
      </c>
      <c r="H199" s="17">
        <v>3.8110499999999998</v>
      </c>
      <c r="I199" s="18">
        <v>159402.20000000001</v>
      </c>
    </row>
    <row r="200" spans="1:9">
      <c r="A200" s="16">
        <v>44408</v>
      </c>
      <c r="B200" s="17">
        <f>Inflation!C200</f>
        <v>105</v>
      </c>
      <c r="C200" s="17">
        <f>LOOKUP(A200,inrtpl_m_m[Data],inrtpl_m_m[Zamkniecie2])</f>
        <v>0.1</v>
      </c>
      <c r="D200" s="14">
        <v>1887486.247</v>
      </c>
      <c r="E200" s="17">
        <f>'Industry Production'!C200</f>
        <v>95.8</v>
      </c>
      <c r="F200" s="17">
        <f>'Import Export'!D200</f>
        <v>62008.7</v>
      </c>
      <c r="G200" s="17">
        <f>'Import Export'!E200</f>
        <v>62752.800000000003</v>
      </c>
      <c r="H200" s="17">
        <v>3.8528500000000001</v>
      </c>
      <c r="I200" s="18">
        <v>163025.09999999998</v>
      </c>
    </row>
    <row r="201" spans="1:9">
      <c r="A201" s="16">
        <v>44439</v>
      </c>
      <c r="B201" s="17">
        <f>Inflation!C201</f>
        <v>105.5</v>
      </c>
      <c r="C201" s="17">
        <f>LOOKUP(A201,inrtpl_m_m[Data],inrtpl_m_m[Zamkniecie2])</f>
        <v>0.1</v>
      </c>
      <c r="D201" s="14">
        <v>1895077.4180000001</v>
      </c>
      <c r="E201" s="17">
        <f>'Industry Production'!C201</f>
        <v>97.3</v>
      </c>
      <c r="F201" s="17">
        <f>'Import Export'!D201</f>
        <v>63386.1</v>
      </c>
      <c r="G201" s="17">
        <f>'Import Export'!E201</f>
        <v>62213.8</v>
      </c>
      <c r="H201" s="17">
        <v>3.8306499999999999</v>
      </c>
      <c r="I201" s="18">
        <v>169452</v>
      </c>
    </row>
    <row r="202" spans="1:9">
      <c r="A202" s="16">
        <v>44469</v>
      </c>
      <c r="B202" s="17">
        <f>Inflation!C202</f>
        <v>105.9</v>
      </c>
      <c r="C202" s="17">
        <f>LOOKUP(A202,inrtpl_m_m[Data],inrtpl_m_m[Zamkniecie2])</f>
        <v>0.1</v>
      </c>
      <c r="D202" s="14">
        <v>1907960.1839999999</v>
      </c>
      <c r="E202" s="17">
        <f>'Industry Production'!C202</f>
        <v>110.9</v>
      </c>
      <c r="F202" s="17">
        <f>'Import Export'!D202</f>
        <v>69396.600000000006</v>
      </c>
      <c r="G202" s="17">
        <f>'Import Export'!E202</f>
        <v>70043.600000000006</v>
      </c>
      <c r="H202" s="17">
        <v>3.9807199999999998</v>
      </c>
      <c r="I202" s="18">
        <v>167018.79999999999</v>
      </c>
    </row>
    <row r="203" spans="1:9">
      <c r="A203" s="16">
        <v>44500</v>
      </c>
      <c r="B203" s="17">
        <f>Inflation!C203</f>
        <v>106.8</v>
      </c>
      <c r="C203" s="17">
        <f>LOOKUP(A203,inrtpl_m_m[Data],inrtpl_m_m[Zamkniecie2])</f>
        <v>0.5</v>
      </c>
      <c r="D203" s="14">
        <v>1930050.8570000001</v>
      </c>
      <c r="E203" s="17">
        <f>'Industry Production'!C203</f>
        <v>102.1</v>
      </c>
      <c r="F203" s="17">
        <f>'Import Export'!D203</f>
        <v>68873.8</v>
      </c>
      <c r="G203" s="17">
        <f>'Import Export'!E203</f>
        <v>69990.3</v>
      </c>
      <c r="H203" s="17">
        <v>3.9906999999999999</v>
      </c>
      <c r="I203" s="18">
        <v>167837.2</v>
      </c>
    </row>
    <row r="204" spans="1:9">
      <c r="A204" s="16">
        <v>44530</v>
      </c>
      <c r="B204" s="17">
        <f>Inflation!C204</f>
        <v>107.8</v>
      </c>
      <c r="C204" s="17">
        <f>LOOKUP(A204,inrtpl_m_m[Data],inrtpl_m_m[Zamkniecie2])</f>
        <v>1.25</v>
      </c>
      <c r="D204" s="14">
        <v>1963239.8810000001</v>
      </c>
      <c r="E204" s="17">
        <f>'Industry Production'!C204</f>
        <v>104.9</v>
      </c>
      <c r="F204" s="17">
        <f>'Import Export'!D204</f>
        <v>71415.7</v>
      </c>
      <c r="G204" s="17">
        <f>'Import Export'!E204</f>
        <v>73932.600000000006</v>
      </c>
      <c r="H204" s="17">
        <v>4.11015</v>
      </c>
      <c r="I204" s="18">
        <v>166725.70000000001</v>
      </c>
    </row>
    <row r="205" spans="1:9">
      <c r="A205" s="16">
        <v>44561</v>
      </c>
      <c r="B205" s="17">
        <f>Inflation!C205</f>
        <v>108.6</v>
      </c>
      <c r="C205" s="17">
        <f>LOOKUP(A205,inrtpl_m_m[Data],inrtpl_m_m[Zamkniecie2])</f>
        <v>1.75</v>
      </c>
      <c r="D205" s="14">
        <v>1974496.76</v>
      </c>
      <c r="E205" s="17">
        <f>'Industry Production'!C205</f>
        <v>96.8</v>
      </c>
      <c r="F205" s="17">
        <f>'Import Export'!D205</f>
        <v>66858.8</v>
      </c>
      <c r="G205" s="17">
        <f>'Import Export'!E205</f>
        <v>67182.7</v>
      </c>
      <c r="H205" s="17">
        <v>4.0340999999999996</v>
      </c>
      <c r="I205" s="18">
        <v>166049.60000000001</v>
      </c>
    </row>
    <row r="206" spans="1:9">
      <c r="A206" s="16">
        <v>44592</v>
      </c>
      <c r="B206" s="17">
        <f>Inflation!C206</f>
        <v>109.4</v>
      </c>
      <c r="C206" s="17">
        <f>LOOKUP(A206,inrtpl_m_m[Data],inrtpl_m_m[Zamkniecie2])</f>
        <v>2.25</v>
      </c>
      <c r="D206" s="14">
        <v>1952015.699</v>
      </c>
      <c r="E206" s="17">
        <f>'Industry Production'!C206</f>
        <v>96.3</v>
      </c>
      <c r="F206" s="17">
        <f>'Import Export'!D206</f>
        <v>68046.899999999994</v>
      </c>
      <c r="G206" s="17">
        <f>'Import Export'!E206</f>
        <v>69974.7</v>
      </c>
      <c r="H206" s="17">
        <v>4.0781999999999998</v>
      </c>
      <c r="I206" s="18">
        <v>161266.70000000001</v>
      </c>
    </row>
    <row r="207" spans="1:9">
      <c r="A207" s="16">
        <v>44620</v>
      </c>
      <c r="B207" s="17">
        <f>Inflation!C207</f>
        <v>108.5</v>
      </c>
      <c r="C207" s="17">
        <f>LOOKUP(A207,inrtpl_m_m[Data],inrtpl_m_m[Zamkniecie2])</f>
        <v>2.75</v>
      </c>
      <c r="D207" s="14">
        <v>1975493.3</v>
      </c>
      <c r="E207" s="17">
        <f>'Industry Production'!C207</f>
        <v>103.4</v>
      </c>
      <c r="F207" s="17">
        <f>'Import Export'!D207</f>
        <v>70594</v>
      </c>
      <c r="G207" s="17">
        <f>'Import Export'!E207</f>
        <v>69859.399999999994</v>
      </c>
      <c r="H207" s="17">
        <v>4.1908300000000001</v>
      </c>
      <c r="I207" s="18">
        <v>160663.30000000002</v>
      </c>
    </row>
    <row r="208" spans="1:9">
      <c r="A208" s="16">
        <v>44651</v>
      </c>
      <c r="B208" s="17">
        <f>Inflation!C208</f>
        <v>111</v>
      </c>
      <c r="C208" s="17">
        <f>LOOKUP(A208,inrtpl_m_m[Data],inrtpl_m_m[Zamkniecie2])</f>
        <v>3.5</v>
      </c>
      <c r="D208" s="14">
        <v>1999267.6969999999</v>
      </c>
      <c r="E208" s="17">
        <f>'Industry Production'!C208</f>
        <v>116.3</v>
      </c>
      <c r="F208" s="17">
        <f>'Import Export'!D208</f>
        <v>79963.600000000006</v>
      </c>
      <c r="G208" s="17">
        <f>'Import Export'!E208</f>
        <v>81906.100000000006</v>
      </c>
      <c r="H208" s="17">
        <v>4.1993999999999998</v>
      </c>
      <c r="I208" s="18">
        <v>158078.1</v>
      </c>
    </row>
    <row r="209" spans="1:9">
      <c r="A209" s="16">
        <v>44681</v>
      </c>
      <c r="B209" s="17">
        <f>Inflation!C209</f>
        <v>112.4</v>
      </c>
      <c r="C209" s="17">
        <f>LOOKUP(A209,inrtpl_m_m[Data],inrtpl_m_m[Zamkniecie2])</f>
        <v>4.5</v>
      </c>
      <c r="D209" s="14">
        <v>2002569.608</v>
      </c>
      <c r="E209" s="17">
        <f>'Industry Production'!C209</f>
        <v>88.3</v>
      </c>
      <c r="F209" s="17">
        <f>'Import Export'!D209</f>
        <v>67528.399999999994</v>
      </c>
      <c r="G209" s="17">
        <f>'Import Export'!E209</f>
        <v>69386.2</v>
      </c>
      <c r="H209" s="17">
        <v>4.4310499999999999</v>
      </c>
      <c r="I209" s="18">
        <v>152150.39999999999</v>
      </c>
    </row>
    <row r="210" spans="1:9">
      <c r="A210" s="16">
        <v>44712</v>
      </c>
      <c r="B210" s="17">
        <f>Inflation!C210</f>
        <v>113.9</v>
      </c>
      <c r="C210" s="17">
        <f>LOOKUP(A210,inrtpl_m_m[Data],inrtpl_m_m[Zamkniecie2])</f>
        <v>5.25</v>
      </c>
      <c r="D210" s="14">
        <v>2005087.7080000001</v>
      </c>
      <c r="E210" s="17">
        <f>'Industry Production'!C210</f>
        <v>101.3</v>
      </c>
      <c r="F210" s="17">
        <f>'Import Export'!D210</f>
        <v>73731</v>
      </c>
      <c r="G210" s="17">
        <f>'Import Export'!E210</f>
        <v>73349.899999999994</v>
      </c>
      <c r="H210" s="17">
        <v>4.2712000000000003</v>
      </c>
      <c r="I210" s="18">
        <v>156310.70000000001</v>
      </c>
    </row>
    <row r="211" spans="1:9">
      <c r="A211" s="16">
        <v>44742</v>
      </c>
      <c r="B211" s="17">
        <f>Inflation!C211</f>
        <v>115.5</v>
      </c>
      <c r="C211" s="17">
        <f>LOOKUP(A211,inrtpl_m_m[Data],inrtpl_m_m[Zamkniecie2])</f>
        <v>6</v>
      </c>
      <c r="D211" s="14">
        <v>1989231.2439999999</v>
      </c>
      <c r="E211" s="17">
        <f>'Industry Production'!C211</f>
        <v>99.6</v>
      </c>
      <c r="F211" s="17">
        <f>'Import Export'!D211</f>
        <v>73888.5</v>
      </c>
      <c r="G211" s="17">
        <f>'Import Export'!E211</f>
        <v>73532.7</v>
      </c>
      <c r="H211" s="17">
        <v>4.4852499999999997</v>
      </c>
      <c r="I211" s="18">
        <v>154239.9</v>
      </c>
    </row>
    <row r="212" spans="1:9">
      <c r="A212" s="16">
        <v>44773</v>
      </c>
      <c r="B212" s="17">
        <f>Inflation!C212</f>
        <v>115.6</v>
      </c>
      <c r="C212" s="17">
        <f>LOOKUP(A212,inrtpl_m_m[Data],inrtpl_m_m[Zamkniecie2])</f>
        <v>6.5</v>
      </c>
      <c r="D212" s="14">
        <v>2002463.392</v>
      </c>
      <c r="E212" s="17">
        <f>'Industry Production'!C212</f>
        <v>93.3</v>
      </c>
      <c r="F212" s="17">
        <f>'Import Export'!D212</f>
        <v>69157.7</v>
      </c>
      <c r="G212" s="17">
        <f>'Import Export'!E212</f>
        <v>68273.5</v>
      </c>
      <c r="H212" s="17">
        <v>4.6374399999999998</v>
      </c>
      <c r="I212" s="18">
        <v>157575</v>
      </c>
    </row>
    <row r="213" spans="1:9">
      <c r="A213" s="16">
        <v>44804</v>
      </c>
      <c r="B213" s="17">
        <f>Inflation!C213</f>
        <v>116.1</v>
      </c>
      <c r="C213" s="17">
        <f>LOOKUP(A213,inrtpl_m_m[Data],inrtpl_m_m[Zamkniecie2])</f>
        <v>6.5</v>
      </c>
      <c r="D213" s="14">
        <v>2033757.0049999999</v>
      </c>
      <c r="E213" s="17">
        <f>'Industry Production'!C213</f>
        <v>100.7</v>
      </c>
      <c r="F213" s="17">
        <f>'Import Export'!D213</f>
        <v>68947.199999999997</v>
      </c>
      <c r="G213" s="17">
        <f>'Import Export'!E213</f>
        <v>69986.399999999994</v>
      </c>
      <c r="H213" s="17">
        <v>4.7008799999999997</v>
      </c>
      <c r="I213" s="18">
        <v>154791.9</v>
      </c>
    </row>
    <row r="214" spans="1:9">
      <c r="A214" s="16">
        <v>44834</v>
      </c>
      <c r="B214" s="17">
        <f>Inflation!C214</f>
        <v>117.2</v>
      </c>
      <c r="C214" s="17">
        <f>LOOKUP(A214,inrtpl_m_m[Data],inrtpl_m_m[Zamkniecie2])</f>
        <v>6.75</v>
      </c>
      <c r="D214" s="14">
        <v>2052450.9990000001</v>
      </c>
      <c r="E214" s="17">
        <f>'Industry Production'!C214</f>
        <v>109.2</v>
      </c>
      <c r="F214" s="17">
        <f>'Import Export'!D214</f>
        <v>76558.7</v>
      </c>
      <c r="G214" s="17">
        <f>'Import Export'!E214</f>
        <v>78286.7</v>
      </c>
      <c r="H214" s="17">
        <v>4.9573</v>
      </c>
      <c r="I214" s="18">
        <v>151595.19999999998</v>
      </c>
    </row>
    <row r="215" spans="1:9">
      <c r="A215" s="16">
        <v>44865</v>
      </c>
      <c r="B215" s="17">
        <f>Inflation!C215</f>
        <v>117.9</v>
      </c>
      <c r="C215" s="17">
        <f>LOOKUP(A215,inrtpl_m_m[Data],inrtpl_m_m[Zamkniecie2])</f>
        <v>6.75</v>
      </c>
      <c r="D215" s="14">
        <v>2057872.2080000001</v>
      </c>
      <c r="E215" s="17">
        <f>'Industry Production'!C215</f>
        <v>99</v>
      </c>
      <c r="F215" s="17">
        <f>'Import Export'!D215</f>
        <v>79556.7</v>
      </c>
      <c r="G215" s="17">
        <f>'Import Export'!E215</f>
        <v>81190.5</v>
      </c>
      <c r="H215" s="17">
        <v>4.7724000000000002</v>
      </c>
      <c r="I215" s="18">
        <v>151671.80000000002</v>
      </c>
    </row>
    <row r="216" spans="1:9">
      <c r="A216" s="16">
        <v>44895</v>
      </c>
      <c r="B216" s="17">
        <f>Inflation!C216</f>
        <v>117.5</v>
      </c>
      <c r="C216" s="17">
        <f>LOOKUP(A216,inrtpl_m_m[Data],inrtpl_m_m[Zamkniecie2])</f>
        <v>6.75</v>
      </c>
      <c r="D216" s="14">
        <v>2068678.071</v>
      </c>
      <c r="E216" s="17">
        <f>'Industry Production'!C216</f>
        <v>102.6</v>
      </c>
      <c r="F216" s="17">
        <f>'Import Export'!D216</f>
        <v>79913.3</v>
      </c>
      <c r="G216" s="17">
        <f>'Import Export'!E216</f>
        <v>80209.600000000006</v>
      </c>
      <c r="H216" s="17">
        <v>4.4870000000000001</v>
      </c>
      <c r="I216" s="18">
        <v>162410.40000000002</v>
      </c>
    </row>
    <row r="217" spans="1:9">
      <c r="A217" s="16">
        <v>44926</v>
      </c>
      <c r="B217" s="17">
        <f>Inflation!C217</f>
        <v>116.6</v>
      </c>
      <c r="C217" s="17">
        <f>LOOKUP(A217,inrtpl_m_m[Data],inrtpl_m_m[Zamkniecie2])</f>
        <v>6.75</v>
      </c>
      <c r="D217" s="14">
        <v>2078248.3840000001</v>
      </c>
      <c r="E217" s="17">
        <f>'Industry Production'!C217</f>
        <v>93.6</v>
      </c>
      <c r="F217" s="17">
        <f>'Import Export'!D217</f>
        <v>72192.399999999994</v>
      </c>
      <c r="G217" s="17">
        <f>'Import Export'!E217</f>
        <v>66663.8</v>
      </c>
      <c r="H217" s="17">
        <v>4.3803099999999997</v>
      </c>
      <c r="I217" s="18">
        <v>166694.9</v>
      </c>
    </row>
    <row r="218" spans="1:9">
      <c r="A218" s="16">
        <v>44957</v>
      </c>
      <c r="B218" s="17">
        <f>Inflation!C218</f>
        <v>116.6</v>
      </c>
      <c r="C218" s="17">
        <f>LOOKUP(A218,inrtpl_m_m[Data],inrtpl_m_m[Zamkniecie2])</f>
        <v>6.75</v>
      </c>
      <c r="D218" s="14">
        <v>2082183.969</v>
      </c>
      <c r="E218" s="17">
        <f>'Industry Production'!C218</f>
        <v>97</v>
      </c>
      <c r="F218" s="17">
        <f>'Import Export'!D218</f>
        <v>76630.5</v>
      </c>
      <c r="G218" s="17">
        <f>'Import Export'!E218</f>
        <v>74484.7</v>
      </c>
      <c r="H218" s="17">
        <v>4.3352399999999998</v>
      </c>
      <c r="I218" s="18">
        <v>167221.20000000001</v>
      </c>
    </row>
    <row r="219" spans="1:9">
      <c r="A219" s="16">
        <v>44985</v>
      </c>
      <c r="B219" s="17">
        <f>Inflation!C219</f>
        <v>118.4</v>
      </c>
      <c r="C219" s="17">
        <f>LOOKUP(A219,inrtpl_m_m[Data],inrtpl_m_m[Zamkniecie2])</f>
        <v>6.75</v>
      </c>
      <c r="D219" s="14">
        <v>2118202.3119999999</v>
      </c>
      <c r="E219" s="17">
        <f>'Industry Production'!C219</f>
        <v>100.4</v>
      </c>
      <c r="F219" s="17">
        <f>'Import Export'!D219</f>
        <v>74282.5</v>
      </c>
      <c r="G219" s="17">
        <f>'Import Export'!E219</f>
        <v>71882</v>
      </c>
      <c r="H219" s="17">
        <v>4.4463499999999998</v>
      </c>
      <c r="I219" s="18">
        <v>167821.5</v>
      </c>
    </row>
    <row r="220" spans="1:9">
      <c r="A220" s="16">
        <v>45016</v>
      </c>
      <c r="B220" s="17">
        <f>Inflation!C220</f>
        <v>116.1</v>
      </c>
      <c r="C220" s="17">
        <f>LOOKUP(A220,inrtpl_m_m[Data],inrtpl_m_m[Zamkniecie2])</f>
        <v>6.75</v>
      </c>
      <c r="D220" s="14">
        <v>2121975.673</v>
      </c>
      <c r="E220" s="17">
        <f>'Industry Production'!C220</f>
        <v>113.8</v>
      </c>
      <c r="F220" s="17">
        <f>'Import Export'!D220</f>
        <v>82427.199999999997</v>
      </c>
      <c r="G220" s="17">
        <f>'Import Export'!E220</f>
        <v>80730.5</v>
      </c>
      <c r="H220" s="17">
        <v>4.31426</v>
      </c>
      <c r="I220" s="18">
        <v>170361</v>
      </c>
    </row>
    <row r="221" spans="1:9">
      <c r="A221" s="16">
        <v>45046</v>
      </c>
      <c r="B221" s="17">
        <f>Inflation!C221</f>
        <v>114.7</v>
      </c>
      <c r="C221" s="17">
        <f>LOOKUP(A221,inrtpl_m_m[Data],inrtpl_m_m[Zamkniecie2])</f>
        <v>6.75</v>
      </c>
      <c r="D221" s="14">
        <v>2135028.3489999999</v>
      </c>
      <c r="E221" s="17">
        <f>'Industry Production'!C221</f>
        <v>85.8</v>
      </c>
      <c r="F221" s="17">
        <f>'Import Export'!D221</f>
        <v>76700.3</v>
      </c>
      <c r="G221" s="17">
        <f>'Import Export'!E221</f>
        <v>76642.3</v>
      </c>
      <c r="H221" s="17">
        <v>4.1619900000000003</v>
      </c>
      <c r="I221" s="18">
        <v>178072.19999999998</v>
      </c>
    </row>
    <row r="222" spans="1:9">
      <c r="A222" s="16">
        <v>45077</v>
      </c>
      <c r="B222" s="17">
        <f>Inflation!C222</f>
        <v>113</v>
      </c>
      <c r="C222" s="17">
        <f>LOOKUP(A222,inrtpl_m_m[Data],inrtpl_m_m[Zamkniecie2])</f>
        <v>6.75</v>
      </c>
      <c r="D222" s="14">
        <v>2140971.7400000002</v>
      </c>
      <c r="E222" s="17">
        <f>'Industry Production'!C222</f>
        <v>104.7</v>
      </c>
      <c r="F222" s="17">
        <f>'Import Export'!D222</f>
        <v>78075.600000000006</v>
      </c>
      <c r="G222" s="17">
        <f>'Import Export'!E222</f>
        <v>78234.100000000006</v>
      </c>
      <c r="H222" s="17">
        <v>4.2404400000000004</v>
      </c>
      <c r="I222" s="18">
        <v>176109.2</v>
      </c>
    </row>
    <row r="223" spans="1:9">
      <c r="A223" s="16">
        <v>45107</v>
      </c>
      <c r="B223" s="17">
        <f>Inflation!C223</f>
        <v>111.5</v>
      </c>
      <c r="C223" s="17">
        <f>LOOKUP(A223,inrtpl_m_m[Data],inrtpl_m_m[Zamkniecie2])</f>
        <v>6.75</v>
      </c>
      <c r="D223" s="14">
        <v>2139841.7370000002</v>
      </c>
      <c r="E223" s="17">
        <f>'Industry Production'!C223</f>
        <v>101.4</v>
      </c>
      <c r="F223" s="17">
        <f>'Import Export'!D223</f>
        <v>84072.5</v>
      </c>
      <c r="G223" s="17">
        <f>'Import Export'!E223</f>
        <v>82355.7</v>
      </c>
      <c r="H223" s="17">
        <v>4.0650500000000003</v>
      </c>
      <c r="I223" s="18">
        <v>180763.3</v>
      </c>
    </row>
    <row r="224" spans="1:9">
      <c r="A224" s="16">
        <v>45138</v>
      </c>
      <c r="B224" s="17">
        <f>Inflation!C224</f>
        <v>110.8</v>
      </c>
      <c r="C224" s="17">
        <f>LOOKUP(A224,inrtpl_m_m[Data],inrtpl_m_m[Zamkniecie2])</f>
        <v>6.75</v>
      </c>
      <c r="D224" s="14">
        <v>2158437.3829999999</v>
      </c>
      <c r="E224" s="17">
        <f>'Industry Production'!C224</f>
        <v>92.2</v>
      </c>
      <c r="F224" s="17">
        <f>'Import Export'!D224</f>
        <v>79702.600000000006</v>
      </c>
      <c r="G224" s="17">
        <f>'Import Export'!E224</f>
        <v>78540.2</v>
      </c>
      <c r="H224" s="17">
        <v>4.0039499999999997</v>
      </c>
      <c r="I224" s="18">
        <v>181893.3</v>
      </c>
    </row>
    <row r="225" spans="1:9">
      <c r="A225" s="16">
        <v>45169</v>
      </c>
      <c r="B225" s="17">
        <f>Inflation!C225</f>
        <v>110.1</v>
      </c>
      <c r="C225" s="17">
        <f>LOOKUP(A225,inrtpl_m_m[Data],inrtpl_m_m[Zamkniecie2])</f>
        <v>6.75</v>
      </c>
      <c r="D225" s="14">
        <v>2182060.9789999998</v>
      </c>
      <c r="E225" s="17">
        <f>'Industry Production'!C225</f>
        <v>101.2</v>
      </c>
      <c r="F225" s="17">
        <f>'Import Export'!D225</f>
        <v>79650.7</v>
      </c>
      <c r="G225" s="17">
        <f>'Import Export'!E225</f>
        <v>76323.399999999994</v>
      </c>
      <c r="H225" s="17">
        <v>4.1231200000000001</v>
      </c>
      <c r="I225" s="18">
        <v>182240.8</v>
      </c>
    </row>
    <row r="226" spans="1:9">
      <c r="A226" s="16">
        <v>45199</v>
      </c>
      <c r="B226" s="17">
        <f>Inflation!C226</f>
        <v>108.2</v>
      </c>
      <c r="C226" s="17">
        <f>LOOKUP(A226,inrtpl_m_m[Data],inrtpl_m_m[Zamkniecie2])</f>
        <v>6</v>
      </c>
      <c r="D226" s="14">
        <v>2225679.5649999999</v>
      </c>
      <c r="E226" s="17">
        <f>'Industry Production'!C226</f>
        <v>108</v>
      </c>
      <c r="F226" s="17">
        <f>'Import Export'!D226</f>
        <v>81385.5</v>
      </c>
      <c r="G226" s="17">
        <f>'Import Export'!E226</f>
        <v>81448.399999999994</v>
      </c>
      <c r="H226" s="17">
        <v>4.3677299999999999</v>
      </c>
      <c r="I226" s="18">
        <v>180022.7</v>
      </c>
    </row>
    <row r="227" spans="1:9">
      <c r="A227" s="16">
        <v>45230</v>
      </c>
      <c r="B227" s="17">
        <f>Inflation!C227</f>
        <v>106.6</v>
      </c>
      <c r="C227" s="17">
        <f>LOOKUP(A227,inrtpl_m_m[Data],inrtpl_m_m[Zamkniecie2])</f>
        <v>5.75</v>
      </c>
      <c r="D227" s="14">
        <v>2230677.9840000002</v>
      </c>
      <c r="E227" s="17">
        <f>'Industry Production'!C227</f>
        <v>104.4</v>
      </c>
      <c r="F227" s="17">
        <f>'Import Export'!D227</f>
        <v>92962.6</v>
      </c>
      <c r="G227" s="17">
        <f>'Import Export'!E227</f>
        <v>91405.6</v>
      </c>
      <c r="H227" s="17">
        <v>4.2127999999999997</v>
      </c>
      <c r="I227" s="18">
        <v>177004.4</v>
      </c>
    </row>
    <row r="228" spans="1:9">
      <c r="A228" s="16">
        <v>45260</v>
      </c>
      <c r="B228" s="17">
        <f>Inflation!C228</f>
        <v>106.6</v>
      </c>
      <c r="C228" s="17">
        <f>LOOKUP(A228,inrtpl_m_m[Data],inrtpl_m_m[Zamkniecie2])</f>
        <v>5.75</v>
      </c>
      <c r="D228" s="14">
        <v>2230480.534</v>
      </c>
      <c r="E228" s="17">
        <f>'Industry Production'!C228</f>
        <v>100.3</v>
      </c>
      <c r="F228" s="17">
        <f>'Import Export'!D228</f>
        <v>89181</v>
      </c>
      <c r="G228" s="17">
        <f>'Import Export'!E228</f>
        <v>89497.7</v>
      </c>
      <c r="H228" s="17">
        <v>3.9969999999999999</v>
      </c>
      <c r="I228" s="18">
        <v>186712.4</v>
      </c>
    </row>
    <row r="229" spans="1:9">
      <c r="A229" s="16">
        <v>45291</v>
      </c>
      <c r="B229" s="17">
        <f>Inflation!C229</f>
        <v>106.2</v>
      </c>
      <c r="C229" s="17">
        <f>LOOKUP(A229,inrtpl_m_m[Data],inrtpl_m_m[Zamkniecie2])</f>
        <v>5.75</v>
      </c>
      <c r="D229" s="14">
        <v>2259219.7179999999</v>
      </c>
      <c r="E229" s="17">
        <f>'Industry Production'!C229</f>
        <v>90.5</v>
      </c>
      <c r="F229" s="17">
        <f>'Import Export'!D229</f>
        <v>75759.8</v>
      </c>
      <c r="G229" s="17">
        <f>'Import Export'!E229</f>
        <v>69779.600000000006</v>
      </c>
      <c r="H229" s="17">
        <v>3.9341699999999999</v>
      </c>
      <c r="I229" s="18">
        <v>193812.3</v>
      </c>
    </row>
    <row r="230" spans="1:9">
      <c r="A230" s="16">
        <v>45322</v>
      </c>
      <c r="B230" s="17">
        <f>Inflation!C230</f>
        <v>103.7</v>
      </c>
      <c r="C230" s="17">
        <f>LOOKUP(A230,inrtpl_m_m[Data],inrtpl_m_m[Zamkniecie2])</f>
        <v>5.75</v>
      </c>
      <c r="D230" s="14">
        <v>2244540.273</v>
      </c>
      <c r="E230" s="17">
        <f>'Industry Production'!C230</f>
        <v>103.6</v>
      </c>
      <c r="F230" s="17">
        <f>'Import Export'!D230</f>
        <v>81878.899999999994</v>
      </c>
      <c r="G230" s="17">
        <f>'Import Export'!E230</f>
        <v>82612.7</v>
      </c>
      <c r="H230" s="17">
        <v>4.0036500000000004</v>
      </c>
      <c r="I230" s="18">
        <v>189558.9</v>
      </c>
    </row>
    <row r="231" spans="1:9">
      <c r="A231" s="16">
        <v>45351</v>
      </c>
      <c r="B231" s="17">
        <f>Inflation!C231</f>
        <v>102.8</v>
      </c>
      <c r="C231" s="17">
        <f>LOOKUP(A231,inrtpl_m_m[Data],inrtpl_m_m[Zamkniecie2])</f>
        <v>5.75</v>
      </c>
      <c r="D231" s="14">
        <v>2274666.622</v>
      </c>
      <c r="E231" s="17">
        <f>'Industry Production'!C231</f>
        <v>100.7</v>
      </c>
      <c r="F231" s="17">
        <f>'Import Export'!D231</f>
        <v>84262.5</v>
      </c>
      <c r="G231" s="17">
        <f>'Import Export'!E231</f>
        <v>82307.600000000006</v>
      </c>
      <c r="H231" s="17">
        <v>3.9935499999999999</v>
      </c>
      <c r="I231" s="18">
        <v>187995.6</v>
      </c>
    </row>
    <row r="232" spans="1:9">
      <c r="A232" s="16">
        <v>45382</v>
      </c>
      <c r="B232" s="17">
        <f>Inflation!C232</f>
        <v>102</v>
      </c>
      <c r="C232" s="17">
        <f>LOOKUP(A232,inrtpl_m_m[Data],inrtpl_m_m[Zamkniecie2])</f>
        <v>5.75</v>
      </c>
      <c r="D232" s="14">
        <v>2267662.247</v>
      </c>
      <c r="E232" s="17">
        <f>'Industry Production'!C232</f>
        <v>103.9</v>
      </c>
      <c r="F232" s="17">
        <f>'Import Export'!D232</f>
        <v>87102.399999999994</v>
      </c>
      <c r="G232" s="17">
        <f>'Import Export'!E232</f>
        <v>89599.3</v>
      </c>
      <c r="H232" s="17">
        <v>3.9892500000000002</v>
      </c>
      <c r="I232" s="18">
        <v>202499.80000000002</v>
      </c>
    </row>
    <row r="233" spans="1:9">
      <c r="A233" s="16">
        <v>45412</v>
      </c>
      <c r="B233" s="17">
        <f>Inflation!C233</f>
        <v>102.4</v>
      </c>
      <c r="C233" s="17">
        <f>LOOKUP(A233,inrtpl_m_m[Data],inrtpl_m_m[Zamkniecie2])</f>
        <v>5.75</v>
      </c>
      <c r="D233" s="14">
        <v>2294168.577</v>
      </c>
      <c r="E233" s="17">
        <f>'Industry Production'!C233</f>
        <v>97.7</v>
      </c>
      <c r="F233" s="17">
        <f>'Import Export'!D233</f>
        <v>84976.7</v>
      </c>
      <c r="G233" s="17">
        <f>'Import Export'!E233</f>
        <v>85562.6</v>
      </c>
      <c r="H233" s="17">
        <v>4.0626499999999997</v>
      </c>
      <c r="I233" s="18">
        <v>206097.4</v>
      </c>
    </row>
    <row r="234" spans="1:9">
      <c r="A234" s="16">
        <v>45443</v>
      </c>
      <c r="B234" s="17">
        <f>Inflation!C234</f>
        <v>102.5</v>
      </c>
      <c r="C234" s="17">
        <f>LOOKUP(A234,inrtpl_m_m[Data],inrtpl_m_m[Zamkniecie2])</f>
        <v>5.75</v>
      </c>
      <c r="D234" s="14">
        <v>2317535.963</v>
      </c>
      <c r="E234" s="17">
        <f>'Industry Production'!C234</f>
        <v>95.5</v>
      </c>
      <c r="F234" s="17">
        <f>'Import Export'!D234</f>
        <v>88383.9</v>
      </c>
      <c r="G234" s="17">
        <f>'Import Export'!E234</f>
        <v>87322.1</v>
      </c>
      <c r="H234" s="17">
        <v>3.9391500000000002</v>
      </c>
      <c r="I234" s="18">
        <v>207820.1</v>
      </c>
    </row>
    <row r="235" spans="1:9">
      <c r="A235" s="16">
        <v>45473</v>
      </c>
      <c r="B235" s="17">
        <f>Inflation!C235</f>
        <v>102.6</v>
      </c>
      <c r="C235" s="17">
        <f>LOOKUP(A235,inrtpl_m_m[Data],inrtpl_m_m[Zamkniecie2])</f>
        <v>5.75</v>
      </c>
      <c r="D235" s="14">
        <v>2322127.486</v>
      </c>
      <c r="E235" s="17">
        <f>'Industry Production'!C235</f>
        <v>103</v>
      </c>
      <c r="F235" s="17">
        <f>'Import Export'!D235</f>
        <v>79441.600000000006</v>
      </c>
      <c r="G235" s="17">
        <f>'Import Export'!E235</f>
        <v>79853.399999999994</v>
      </c>
      <c r="H235" s="17">
        <v>4.0250000000000004</v>
      </c>
      <c r="I235" s="18">
        <v>209568.7</v>
      </c>
    </row>
    <row r="236" spans="1:9">
      <c r="A236" s="16">
        <v>45504</v>
      </c>
      <c r="B236" s="17">
        <f>Inflation!C236</f>
        <v>104.2</v>
      </c>
      <c r="C236" s="17">
        <f>LOOKUP(A236,inrtpl_m_m[Data],inrtpl_m_m[Zamkniecie2])</f>
        <v>5.75</v>
      </c>
      <c r="D236" s="14">
        <v>2340828.9040000001</v>
      </c>
      <c r="E236" s="17">
        <f>'Industry Production'!C236</f>
        <v>97</v>
      </c>
      <c r="F236" s="17">
        <f>'Import Export'!D236</f>
        <v>85302.8</v>
      </c>
      <c r="G236" s="17">
        <f>'Import Export'!E236</f>
        <v>84773.2</v>
      </c>
      <c r="H236" s="17">
        <v>3.9621900000000001</v>
      </c>
      <c r="I236" s="18">
        <v>206204.5</v>
      </c>
    </row>
    <row r="237" spans="1:9">
      <c r="A237" s="16">
        <v>45535</v>
      </c>
      <c r="B237" s="17">
        <f>Inflation!C237</f>
        <v>104.3</v>
      </c>
      <c r="C237" s="17">
        <f>LOOKUP(A237,inrtpl_m_m[Data],inrtpl_m_m[Zamkniecie2])</f>
        <v>5.75</v>
      </c>
      <c r="D237" s="14">
        <v>2350131.7940000002</v>
      </c>
      <c r="E237" s="17">
        <f>'Industry Production'!C237</f>
        <v>95.1</v>
      </c>
      <c r="F237" s="17">
        <f>'Import Export'!D237</f>
        <v>79596.2</v>
      </c>
      <c r="G237" s="17">
        <f>'Import Export'!E237</f>
        <v>78503.199999999997</v>
      </c>
      <c r="H237" s="17">
        <v>3.87392</v>
      </c>
      <c r="I237" s="18">
        <v>213297.3</v>
      </c>
    </row>
    <row r="238" spans="1:9">
      <c r="A238" s="16">
        <v>45565</v>
      </c>
      <c r="B238" s="17">
        <f>Inflation!C238</f>
        <v>104.9</v>
      </c>
      <c r="C238" s="17">
        <f>LOOKUP(A238,inrtpl_m_m[Data],inrtpl_m_m[Zamkniecie2])</f>
        <v>5.75</v>
      </c>
      <c r="D238" s="14">
        <v>2363913.2400000002</v>
      </c>
      <c r="E238" s="17">
        <f>'Industry Production'!C238</f>
        <v>108.8</v>
      </c>
      <c r="F238" s="17">
        <f>'Import Export'!D238</f>
        <v>86733.9</v>
      </c>
      <c r="G238" s="17">
        <f>'Import Export'!E238</f>
        <v>89436.4</v>
      </c>
      <c r="H238" s="17">
        <v>3.8450500000000001</v>
      </c>
      <c r="I238" s="18">
        <v>218812.80000000002</v>
      </c>
    </row>
    <row r="239" spans="1:9">
      <c r="A239" s="16">
        <v>45596</v>
      </c>
      <c r="B239" s="17">
        <f>Inflation!C239</f>
        <v>105</v>
      </c>
      <c r="C239" s="17">
        <f>LOOKUP(A239,inrtpl_m_m[Data],inrtpl_m_m[Zamkniecie2])</f>
        <v>5.75</v>
      </c>
      <c r="D239" s="14">
        <v>2400674.2949999999</v>
      </c>
      <c r="E239" s="17">
        <f>'Industry Production'!C239</f>
        <v>109.9</v>
      </c>
      <c r="F239" s="17">
        <f>'Import Export'!D239</f>
        <v>95273</v>
      </c>
      <c r="G239" s="17">
        <f>'Import Export'!E239</f>
        <v>96251.6</v>
      </c>
      <c r="H239" s="17">
        <v>3.9982899999999999</v>
      </c>
      <c r="I239" s="18">
        <v>215455.4</v>
      </c>
    </row>
    <row r="240" spans="1:9">
      <c r="A240" s="16">
        <v>45626</v>
      </c>
      <c r="B240" s="17">
        <f>Inflation!C240</f>
        <v>104.7</v>
      </c>
      <c r="C240" s="17">
        <f>LOOKUP(A240,inrtpl_m_m[Data],inrtpl_m_m[Zamkniecie2])</f>
        <v>5.75</v>
      </c>
      <c r="D240" s="14">
        <v>2419212.1570000001</v>
      </c>
      <c r="E240" s="17">
        <f>'Industry Production'!C240</f>
        <v>94.7</v>
      </c>
      <c r="F240" s="17">
        <f>'Import Export'!D240</f>
        <v>87917</v>
      </c>
      <c r="G240" s="17">
        <f>'Import Export'!E240</f>
        <v>90224.1</v>
      </c>
      <c r="H240" s="17">
        <v>4.05877</v>
      </c>
      <c r="I240" s="18">
        <v>218379.40000000002</v>
      </c>
    </row>
    <row r="241" spans="1:9">
      <c r="A241" s="16">
        <v>45657</v>
      </c>
      <c r="B241" s="17">
        <f>Inflation!C241</f>
        <v>104.7</v>
      </c>
      <c r="C241" s="17">
        <f>LOOKUP(A241,inrtpl_m_m[Data],inrtpl_m_m[Zamkniecie2])</f>
        <v>5.75</v>
      </c>
      <c r="D241" s="14">
        <v>2469096.3909999998</v>
      </c>
      <c r="E241" s="17">
        <f>'Industry Production'!C241</f>
        <v>92.1</v>
      </c>
      <c r="F241" s="17">
        <f>'Import Export'!D241</f>
        <v>77610.100000000006</v>
      </c>
      <c r="G241" s="17">
        <f>'Import Export'!E241</f>
        <v>77145.2</v>
      </c>
      <c r="H241" s="17">
        <v>4.1299299999999999</v>
      </c>
      <c r="I241" s="18">
        <v>223166.40000000002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DA3E5-974A-4A02-B515-FACB96F9534B}">
  <dimension ref="A1:C244"/>
  <sheetViews>
    <sheetView workbookViewId="0">
      <selection activeCell="B2" sqref="B2"/>
    </sheetView>
  </sheetViews>
  <sheetFormatPr defaultRowHeight="15"/>
  <cols>
    <col min="1" max="1" width="10.140625" bestFit="1" customWidth="1"/>
  </cols>
  <sheetData>
    <row r="1" spans="1:3">
      <c r="A1" t="s">
        <v>0</v>
      </c>
      <c r="B1" t="s">
        <v>794</v>
      </c>
      <c r="C1" t="s">
        <v>794</v>
      </c>
    </row>
    <row r="2" spans="1:3">
      <c r="A2" s="16">
        <v>38383</v>
      </c>
      <c r="B2" s="19" t="s">
        <v>795</v>
      </c>
      <c r="C2" s="6">
        <f>B2*1</f>
        <v>103.7</v>
      </c>
    </row>
    <row r="3" spans="1:3">
      <c r="A3" s="16">
        <v>38411</v>
      </c>
      <c r="B3" s="19" t="s">
        <v>719</v>
      </c>
      <c r="C3" s="6">
        <f t="shared" ref="C3:C66" si="0">B3*1</f>
        <v>103.6</v>
      </c>
    </row>
    <row r="4" spans="1:3">
      <c r="A4" s="16">
        <v>38442</v>
      </c>
      <c r="B4" s="19" t="s">
        <v>761</v>
      </c>
      <c r="C4" s="6">
        <f t="shared" si="0"/>
        <v>103.4</v>
      </c>
    </row>
    <row r="5" spans="1:3">
      <c r="A5" s="16">
        <v>38472</v>
      </c>
      <c r="B5" s="19" t="s">
        <v>714</v>
      </c>
      <c r="C5" s="6">
        <f t="shared" si="0"/>
        <v>103</v>
      </c>
    </row>
    <row r="6" spans="1:3">
      <c r="A6" s="16">
        <v>38503</v>
      </c>
      <c r="B6" s="19" t="s">
        <v>643</v>
      </c>
      <c r="C6" s="6">
        <f t="shared" si="0"/>
        <v>102.5</v>
      </c>
    </row>
    <row r="7" spans="1:3">
      <c r="A7" s="16">
        <v>38533</v>
      </c>
      <c r="B7" s="19" t="s">
        <v>721</v>
      </c>
      <c r="C7" s="6">
        <f t="shared" si="0"/>
        <v>101.4</v>
      </c>
    </row>
    <row r="8" spans="1:3">
      <c r="A8" s="16">
        <v>38564</v>
      </c>
      <c r="B8" s="19" t="s">
        <v>770</v>
      </c>
      <c r="C8" s="6">
        <f t="shared" si="0"/>
        <v>101.3</v>
      </c>
    </row>
    <row r="9" spans="1:3">
      <c r="A9" s="16">
        <v>38595</v>
      </c>
      <c r="B9" s="19" t="s">
        <v>683</v>
      </c>
      <c r="C9" s="6">
        <f t="shared" si="0"/>
        <v>101.6</v>
      </c>
    </row>
    <row r="10" spans="1:3">
      <c r="A10" s="16">
        <v>38625</v>
      </c>
      <c r="B10" s="19" t="s">
        <v>636</v>
      </c>
      <c r="C10" s="6">
        <f t="shared" si="0"/>
        <v>101.8</v>
      </c>
    </row>
    <row r="11" spans="1:3">
      <c r="A11" s="16">
        <v>38656</v>
      </c>
      <c r="B11" s="19" t="s">
        <v>683</v>
      </c>
      <c r="C11" s="6">
        <f t="shared" si="0"/>
        <v>101.6</v>
      </c>
    </row>
    <row r="12" spans="1:3">
      <c r="A12" s="16">
        <v>38686</v>
      </c>
      <c r="B12" s="19" t="s">
        <v>796</v>
      </c>
      <c r="C12" s="6">
        <f t="shared" si="0"/>
        <v>101</v>
      </c>
    </row>
    <row r="13" spans="1:3">
      <c r="A13" s="16">
        <v>38717</v>
      </c>
      <c r="B13" s="19" t="s">
        <v>662</v>
      </c>
      <c r="C13" s="6">
        <f t="shared" si="0"/>
        <v>100.7</v>
      </c>
    </row>
    <row r="14" spans="1:3">
      <c r="A14" s="16">
        <v>38748</v>
      </c>
      <c r="B14" s="19" t="s">
        <v>797</v>
      </c>
      <c r="C14" s="6">
        <f t="shared" si="0"/>
        <v>100.6</v>
      </c>
    </row>
    <row r="15" spans="1:3">
      <c r="A15" s="16">
        <v>38776</v>
      </c>
      <c r="B15" s="19" t="s">
        <v>662</v>
      </c>
      <c r="C15" s="6">
        <f t="shared" si="0"/>
        <v>100.7</v>
      </c>
    </row>
    <row r="16" spans="1:3">
      <c r="A16" s="16">
        <v>38807</v>
      </c>
      <c r="B16" s="19" t="s">
        <v>776</v>
      </c>
      <c r="C16" s="6">
        <f t="shared" si="0"/>
        <v>100.4</v>
      </c>
    </row>
    <row r="17" spans="1:3">
      <c r="A17" s="16">
        <v>38837</v>
      </c>
      <c r="B17" s="19" t="s">
        <v>662</v>
      </c>
      <c r="C17" s="6">
        <f t="shared" si="0"/>
        <v>100.7</v>
      </c>
    </row>
    <row r="18" spans="1:3">
      <c r="A18" s="16">
        <v>38868</v>
      </c>
      <c r="B18" s="19" t="s">
        <v>798</v>
      </c>
      <c r="C18" s="6">
        <f t="shared" si="0"/>
        <v>100.9</v>
      </c>
    </row>
    <row r="19" spans="1:3">
      <c r="A19" s="16">
        <v>38898</v>
      </c>
      <c r="B19" s="19" t="s">
        <v>748</v>
      </c>
      <c r="C19" s="6">
        <f t="shared" si="0"/>
        <v>100.8</v>
      </c>
    </row>
    <row r="20" spans="1:3">
      <c r="A20" s="16">
        <v>38929</v>
      </c>
      <c r="B20" s="19" t="s">
        <v>692</v>
      </c>
      <c r="C20" s="6">
        <f t="shared" si="0"/>
        <v>101.1</v>
      </c>
    </row>
    <row r="21" spans="1:3">
      <c r="A21" s="16">
        <v>38960</v>
      </c>
      <c r="B21" s="19" t="s">
        <v>683</v>
      </c>
      <c r="C21" s="6">
        <f t="shared" si="0"/>
        <v>101.6</v>
      </c>
    </row>
    <row r="22" spans="1:3">
      <c r="A22" s="16">
        <v>38990</v>
      </c>
      <c r="B22" s="19" t="s">
        <v>683</v>
      </c>
      <c r="C22" s="6">
        <f t="shared" si="0"/>
        <v>101.6</v>
      </c>
    </row>
    <row r="23" spans="1:3">
      <c r="A23" s="16">
        <v>39021</v>
      </c>
      <c r="B23" s="19" t="s">
        <v>781</v>
      </c>
      <c r="C23" s="6">
        <f t="shared" si="0"/>
        <v>101.2</v>
      </c>
    </row>
    <row r="24" spans="1:3">
      <c r="A24" s="16">
        <v>39051</v>
      </c>
      <c r="B24" s="19" t="s">
        <v>721</v>
      </c>
      <c r="C24" s="6">
        <f t="shared" si="0"/>
        <v>101.4</v>
      </c>
    </row>
    <row r="25" spans="1:3">
      <c r="A25" s="16">
        <v>39082</v>
      </c>
      <c r="B25" s="19" t="s">
        <v>721</v>
      </c>
      <c r="C25" s="6">
        <f t="shared" si="0"/>
        <v>101.4</v>
      </c>
    </row>
    <row r="26" spans="1:3">
      <c r="A26" s="16">
        <v>39113</v>
      </c>
      <c r="B26" s="19" t="s">
        <v>683</v>
      </c>
      <c r="C26" s="6">
        <f t="shared" si="0"/>
        <v>101.6</v>
      </c>
    </row>
    <row r="27" spans="1:3">
      <c r="A27" s="16">
        <v>39141</v>
      </c>
      <c r="B27" s="19" t="s">
        <v>668</v>
      </c>
      <c r="C27" s="6">
        <f t="shared" si="0"/>
        <v>101.9</v>
      </c>
    </row>
    <row r="28" spans="1:3">
      <c r="A28" s="16">
        <v>39172</v>
      </c>
      <c r="B28" s="19" t="s">
        <v>643</v>
      </c>
      <c r="C28" s="6">
        <f t="shared" si="0"/>
        <v>102.5</v>
      </c>
    </row>
    <row r="29" spans="1:3">
      <c r="A29" s="16">
        <v>39202</v>
      </c>
      <c r="B29" s="19" t="s">
        <v>799</v>
      </c>
      <c r="C29" s="6">
        <f t="shared" si="0"/>
        <v>102.3</v>
      </c>
    </row>
    <row r="30" spans="1:3">
      <c r="A30" s="16">
        <v>39233</v>
      </c>
      <c r="B30" s="19" t="s">
        <v>799</v>
      </c>
      <c r="C30" s="6">
        <f t="shared" si="0"/>
        <v>102.3</v>
      </c>
    </row>
    <row r="31" spans="1:3">
      <c r="A31" s="16">
        <v>39263</v>
      </c>
      <c r="B31" s="19" t="s">
        <v>654</v>
      </c>
      <c r="C31" s="6">
        <f t="shared" si="0"/>
        <v>102.6</v>
      </c>
    </row>
    <row r="32" spans="1:3">
      <c r="A32" s="16">
        <v>39294</v>
      </c>
      <c r="B32" s="19" t="s">
        <v>799</v>
      </c>
      <c r="C32" s="6">
        <f t="shared" si="0"/>
        <v>102.3</v>
      </c>
    </row>
    <row r="33" spans="1:3">
      <c r="A33" s="16">
        <v>39325</v>
      </c>
      <c r="B33" s="19" t="s">
        <v>661</v>
      </c>
      <c r="C33" s="6">
        <f t="shared" si="0"/>
        <v>101.5</v>
      </c>
    </row>
    <row r="34" spans="1:3">
      <c r="A34" s="16">
        <v>39355</v>
      </c>
      <c r="B34" s="19" t="s">
        <v>799</v>
      </c>
      <c r="C34" s="6">
        <f t="shared" si="0"/>
        <v>102.3</v>
      </c>
    </row>
    <row r="35" spans="1:3">
      <c r="A35" s="16">
        <v>39386</v>
      </c>
      <c r="B35" s="19" t="s">
        <v>714</v>
      </c>
      <c r="C35" s="6">
        <f t="shared" si="0"/>
        <v>103</v>
      </c>
    </row>
    <row r="36" spans="1:3">
      <c r="A36" s="16">
        <v>39416</v>
      </c>
      <c r="B36" s="19" t="s">
        <v>719</v>
      </c>
      <c r="C36" s="6">
        <f t="shared" si="0"/>
        <v>103.6</v>
      </c>
    </row>
    <row r="37" spans="1:3">
      <c r="A37" s="16">
        <v>39447</v>
      </c>
      <c r="B37" s="19" t="s">
        <v>701</v>
      </c>
      <c r="C37" s="6">
        <f t="shared" si="0"/>
        <v>104</v>
      </c>
    </row>
    <row r="38" spans="1:3">
      <c r="A38" s="16">
        <v>39478</v>
      </c>
      <c r="B38" s="19" t="s">
        <v>701</v>
      </c>
      <c r="C38" s="6">
        <f t="shared" si="0"/>
        <v>104</v>
      </c>
    </row>
    <row r="39" spans="1:3">
      <c r="A39" s="16">
        <v>39507</v>
      </c>
      <c r="B39" s="19" t="s">
        <v>747</v>
      </c>
      <c r="C39" s="6">
        <f t="shared" si="0"/>
        <v>104.2</v>
      </c>
    </row>
    <row r="40" spans="1:3">
      <c r="A40" s="16">
        <v>39538</v>
      </c>
      <c r="B40" s="19" t="s">
        <v>634</v>
      </c>
      <c r="C40" s="6">
        <f t="shared" si="0"/>
        <v>104.1</v>
      </c>
    </row>
    <row r="41" spans="1:3">
      <c r="A41" s="16">
        <v>39568</v>
      </c>
      <c r="B41" s="19" t="s">
        <v>701</v>
      </c>
      <c r="C41" s="6">
        <f t="shared" si="0"/>
        <v>104</v>
      </c>
    </row>
    <row r="42" spans="1:3">
      <c r="A42" s="16">
        <v>39599</v>
      </c>
      <c r="B42" s="19" t="s">
        <v>660</v>
      </c>
      <c r="C42" s="6">
        <f t="shared" si="0"/>
        <v>104.4</v>
      </c>
    </row>
    <row r="43" spans="1:3">
      <c r="A43" s="16">
        <v>39629</v>
      </c>
      <c r="B43" s="19" t="s">
        <v>724</v>
      </c>
      <c r="C43" s="6">
        <f t="shared" si="0"/>
        <v>104.6</v>
      </c>
    </row>
    <row r="44" spans="1:3">
      <c r="A44" s="16">
        <v>39660</v>
      </c>
      <c r="B44" s="19" t="s">
        <v>800</v>
      </c>
      <c r="C44" s="6">
        <f t="shared" si="0"/>
        <v>104.8</v>
      </c>
    </row>
    <row r="45" spans="1:3">
      <c r="A45" s="16">
        <v>39691</v>
      </c>
      <c r="B45" s="19" t="s">
        <v>800</v>
      </c>
      <c r="C45" s="6">
        <f t="shared" si="0"/>
        <v>104.8</v>
      </c>
    </row>
    <row r="46" spans="1:3">
      <c r="A46" s="16">
        <v>39721</v>
      </c>
      <c r="B46" s="19" t="s">
        <v>756</v>
      </c>
      <c r="C46" s="6">
        <f t="shared" si="0"/>
        <v>104.5</v>
      </c>
    </row>
    <row r="47" spans="1:3">
      <c r="A47" s="16">
        <v>39752</v>
      </c>
      <c r="B47" s="19" t="s">
        <v>747</v>
      </c>
      <c r="C47" s="6">
        <f t="shared" si="0"/>
        <v>104.2</v>
      </c>
    </row>
    <row r="48" spans="1:3">
      <c r="A48" s="16">
        <v>39782</v>
      </c>
      <c r="B48" s="19" t="s">
        <v>795</v>
      </c>
      <c r="C48" s="6">
        <f t="shared" si="0"/>
        <v>103.7</v>
      </c>
    </row>
    <row r="49" spans="1:3">
      <c r="A49" s="16">
        <v>39813</v>
      </c>
      <c r="B49" s="19" t="s">
        <v>690</v>
      </c>
      <c r="C49" s="6">
        <f t="shared" si="0"/>
        <v>103.3</v>
      </c>
    </row>
    <row r="50" spans="1:3">
      <c r="A50" s="16">
        <v>39844</v>
      </c>
      <c r="B50" s="19" t="s">
        <v>751</v>
      </c>
      <c r="C50" s="6">
        <f t="shared" si="0"/>
        <v>102.8</v>
      </c>
    </row>
    <row r="51" spans="1:3">
      <c r="A51" s="16">
        <v>39872</v>
      </c>
      <c r="B51" s="19" t="s">
        <v>690</v>
      </c>
      <c r="C51" s="6">
        <f t="shared" si="0"/>
        <v>103.3</v>
      </c>
    </row>
    <row r="52" spans="1:3">
      <c r="A52" s="16">
        <v>39903</v>
      </c>
      <c r="B52" s="19" t="s">
        <v>719</v>
      </c>
      <c r="C52" s="6">
        <f t="shared" si="0"/>
        <v>103.6</v>
      </c>
    </row>
    <row r="53" spans="1:3">
      <c r="A53" s="16">
        <v>39933</v>
      </c>
      <c r="B53" s="19" t="s">
        <v>701</v>
      </c>
      <c r="C53" s="6">
        <f t="shared" si="0"/>
        <v>104</v>
      </c>
    </row>
    <row r="54" spans="1:3">
      <c r="A54" s="16">
        <v>39964</v>
      </c>
      <c r="B54" s="19" t="s">
        <v>719</v>
      </c>
      <c r="C54" s="6">
        <f t="shared" si="0"/>
        <v>103.6</v>
      </c>
    </row>
    <row r="55" spans="1:3">
      <c r="A55" s="16">
        <v>39994</v>
      </c>
      <c r="B55" s="19" t="s">
        <v>801</v>
      </c>
      <c r="C55" s="6">
        <f t="shared" si="0"/>
        <v>103.5</v>
      </c>
    </row>
    <row r="56" spans="1:3">
      <c r="A56" s="16">
        <v>40025</v>
      </c>
      <c r="B56" s="19" t="s">
        <v>719</v>
      </c>
      <c r="C56" s="6">
        <f t="shared" si="0"/>
        <v>103.6</v>
      </c>
    </row>
    <row r="57" spans="1:3">
      <c r="A57" s="16">
        <v>40056</v>
      </c>
      <c r="B57" s="19" t="s">
        <v>795</v>
      </c>
      <c r="C57" s="6">
        <f t="shared" si="0"/>
        <v>103.7</v>
      </c>
    </row>
    <row r="58" spans="1:3">
      <c r="A58" s="16">
        <v>40086</v>
      </c>
      <c r="B58" s="19" t="s">
        <v>761</v>
      </c>
      <c r="C58" s="6">
        <f t="shared" si="0"/>
        <v>103.4</v>
      </c>
    </row>
    <row r="59" spans="1:3">
      <c r="A59" s="16">
        <v>40117</v>
      </c>
      <c r="B59" s="19" t="s">
        <v>680</v>
      </c>
      <c r="C59" s="6">
        <f t="shared" si="0"/>
        <v>103.1</v>
      </c>
    </row>
    <row r="60" spans="1:3">
      <c r="A60" s="16">
        <v>40147</v>
      </c>
      <c r="B60" s="19" t="s">
        <v>690</v>
      </c>
      <c r="C60" s="6">
        <f t="shared" si="0"/>
        <v>103.3</v>
      </c>
    </row>
    <row r="61" spans="1:3">
      <c r="A61" s="16">
        <v>40178</v>
      </c>
      <c r="B61" s="19" t="s">
        <v>801</v>
      </c>
      <c r="C61" s="6">
        <f t="shared" si="0"/>
        <v>103.5</v>
      </c>
    </row>
    <row r="62" spans="1:3">
      <c r="A62" s="16">
        <v>40209</v>
      </c>
      <c r="B62" s="19" t="s">
        <v>801</v>
      </c>
      <c r="C62" s="6">
        <f t="shared" si="0"/>
        <v>103.5</v>
      </c>
    </row>
    <row r="63" spans="1:3">
      <c r="A63" s="16">
        <v>40237</v>
      </c>
      <c r="B63" s="19" t="s">
        <v>802</v>
      </c>
      <c r="C63" s="6">
        <f t="shared" si="0"/>
        <v>102.9</v>
      </c>
    </row>
    <row r="64" spans="1:3">
      <c r="A64" s="16">
        <v>40268</v>
      </c>
      <c r="B64" s="19" t="s">
        <v>654</v>
      </c>
      <c r="C64" s="6">
        <f t="shared" si="0"/>
        <v>102.6</v>
      </c>
    </row>
    <row r="65" spans="1:3">
      <c r="A65" s="16">
        <v>40298</v>
      </c>
      <c r="B65" s="19" t="s">
        <v>672</v>
      </c>
      <c r="C65" s="6">
        <f t="shared" si="0"/>
        <v>102.4</v>
      </c>
    </row>
    <row r="66" spans="1:3">
      <c r="A66" s="16">
        <v>40329</v>
      </c>
      <c r="B66" s="19" t="s">
        <v>757</v>
      </c>
      <c r="C66" s="6">
        <f t="shared" si="0"/>
        <v>102.2</v>
      </c>
    </row>
    <row r="67" spans="1:3">
      <c r="A67" s="16">
        <v>40359</v>
      </c>
      <c r="B67" s="19" t="s">
        <v>799</v>
      </c>
      <c r="C67" s="6">
        <f t="shared" ref="C67:C130" si="1">B67*1</f>
        <v>102.3</v>
      </c>
    </row>
    <row r="68" spans="1:3">
      <c r="A68" s="16">
        <v>40390</v>
      </c>
      <c r="B68" s="19" t="s">
        <v>803</v>
      </c>
      <c r="C68" s="6">
        <f t="shared" si="1"/>
        <v>102</v>
      </c>
    </row>
    <row r="69" spans="1:3">
      <c r="A69" s="16">
        <v>40421</v>
      </c>
      <c r="B69" s="19" t="s">
        <v>803</v>
      </c>
      <c r="C69" s="6">
        <f t="shared" si="1"/>
        <v>102</v>
      </c>
    </row>
    <row r="70" spans="1:3">
      <c r="A70" s="16">
        <v>40451</v>
      </c>
      <c r="B70" s="19" t="s">
        <v>643</v>
      </c>
      <c r="C70" s="6">
        <f t="shared" si="1"/>
        <v>102.5</v>
      </c>
    </row>
    <row r="71" spans="1:3">
      <c r="A71" s="16">
        <v>40482</v>
      </c>
      <c r="B71" s="19" t="s">
        <v>751</v>
      </c>
      <c r="C71" s="6">
        <f t="shared" si="1"/>
        <v>102.8</v>
      </c>
    </row>
    <row r="72" spans="1:3">
      <c r="A72" s="16">
        <v>40512</v>
      </c>
      <c r="B72" s="19" t="s">
        <v>804</v>
      </c>
      <c r="C72" s="6">
        <f t="shared" si="1"/>
        <v>102.7</v>
      </c>
    </row>
    <row r="73" spans="1:3">
      <c r="A73" s="16">
        <v>40543</v>
      </c>
      <c r="B73" s="19" t="s">
        <v>680</v>
      </c>
      <c r="C73" s="6">
        <f t="shared" si="1"/>
        <v>103.1</v>
      </c>
    </row>
    <row r="74" spans="1:3">
      <c r="A74" s="16">
        <v>40574</v>
      </c>
      <c r="B74" s="19" t="s">
        <v>719</v>
      </c>
      <c r="C74" s="6">
        <f t="shared" si="1"/>
        <v>103.6</v>
      </c>
    </row>
    <row r="75" spans="1:3">
      <c r="A75" s="16">
        <v>40602</v>
      </c>
      <c r="B75" s="19" t="s">
        <v>719</v>
      </c>
      <c r="C75" s="6">
        <f t="shared" si="1"/>
        <v>103.6</v>
      </c>
    </row>
    <row r="76" spans="1:3">
      <c r="A76" s="16">
        <v>40633</v>
      </c>
      <c r="B76" s="19" t="s">
        <v>647</v>
      </c>
      <c r="C76" s="6">
        <f t="shared" si="1"/>
        <v>104.3</v>
      </c>
    </row>
    <row r="77" spans="1:3">
      <c r="A77" s="16">
        <v>40663</v>
      </c>
      <c r="B77" s="19" t="s">
        <v>756</v>
      </c>
      <c r="C77" s="6">
        <f t="shared" si="1"/>
        <v>104.5</v>
      </c>
    </row>
    <row r="78" spans="1:3">
      <c r="A78" s="16">
        <v>40694</v>
      </c>
      <c r="B78" s="19" t="s">
        <v>744</v>
      </c>
      <c r="C78" s="6">
        <f t="shared" si="1"/>
        <v>105</v>
      </c>
    </row>
    <row r="79" spans="1:3">
      <c r="A79" s="16">
        <v>40724</v>
      </c>
      <c r="B79" s="19" t="s">
        <v>747</v>
      </c>
      <c r="C79" s="6">
        <f t="shared" si="1"/>
        <v>104.2</v>
      </c>
    </row>
    <row r="80" spans="1:3">
      <c r="A80" s="16">
        <v>40755</v>
      </c>
      <c r="B80" s="19" t="s">
        <v>634</v>
      </c>
      <c r="C80" s="6">
        <f t="shared" si="1"/>
        <v>104.1</v>
      </c>
    </row>
    <row r="81" spans="1:3">
      <c r="A81" s="16">
        <v>40786</v>
      </c>
      <c r="B81" s="19" t="s">
        <v>647</v>
      </c>
      <c r="C81" s="6">
        <f t="shared" si="1"/>
        <v>104.3</v>
      </c>
    </row>
    <row r="82" spans="1:3">
      <c r="A82" s="16">
        <v>40816</v>
      </c>
      <c r="B82" s="19" t="s">
        <v>785</v>
      </c>
      <c r="C82" s="6">
        <f t="shared" si="1"/>
        <v>103.9</v>
      </c>
    </row>
    <row r="83" spans="1:3">
      <c r="A83" s="16">
        <v>40847</v>
      </c>
      <c r="B83" s="19" t="s">
        <v>647</v>
      </c>
      <c r="C83" s="6">
        <f t="shared" si="1"/>
        <v>104.3</v>
      </c>
    </row>
    <row r="84" spans="1:3">
      <c r="A84" s="16">
        <v>40877</v>
      </c>
      <c r="B84" s="19" t="s">
        <v>800</v>
      </c>
      <c r="C84" s="6">
        <f t="shared" si="1"/>
        <v>104.8</v>
      </c>
    </row>
    <row r="85" spans="1:3">
      <c r="A85" s="16">
        <v>40908</v>
      </c>
      <c r="B85" s="19" t="s">
        <v>724</v>
      </c>
      <c r="C85" s="6">
        <f t="shared" si="1"/>
        <v>104.6</v>
      </c>
    </row>
    <row r="86" spans="1:3">
      <c r="A86" s="16">
        <v>40939</v>
      </c>
      <c r="B86" s="19" t="s">
        <v>634</v>
      </c>
      <c r="C86" s="6">
        <f t="shared" si="1"/>
        <v>104.1</v>
      </c>
    </row>
    <row r="87" spans="1:3">
      <c r="A87" s="16">
        <v>40968</v>
      </c>
      <c r="B87" s="19" t="s">
        <v>647</v>
      </c>
      <c r="C87" s="6">
        <f t="shared" si="1"/>
        <v>104.3</v>
      </c>
    </row>
    <row r="88" spans="1:3">
      <c r="A88" s="16">
        <v>40999</v>
      </c>
      <c r="B88" s="19" t="s">
        <v>785</v>
      </c>
      <c r="C88" s="6">
        <f t="shared" si="1"/>
        <v>103.9</v>
      </c>
    </row>
    <row r="89" spans="1:3">
      <c r="A89" s="16">
        <v>41029</v>
      </c>
      <c r="B89" s="19" t="s">
        <v>701</v>
      </c>
      <c r="C89" s="6">
        <f t="shared" si="1"/>
        <v>104</v>
      </c>
    </row>
    <row r="90" spans="1:3">
      <c r="A90" s="16">
        <v>41060</v>
      </c>
      <c r="B90" s="19" t="s">
        <v>719</v>
      </c>
      <c r="C90" s="6">
        <f t="shared" si="1"/>
        <v>103.6</v>
      </c>
    </row>
    <row r="91" spans="1:3">
      <c r="A91" s="16">
        <v>41090</v>
      </c>
      <c r="B91" s="19" t="s">
        <v>647</v>
      </c>
      <c r="C91" s="6">
        <f t="shared" si="1"/>
        <v>104.3</v>
      </c>
    </row>
    <row r="92" spans="1:3">
      <c r="A92" s="16">
        <v>41121</v>
      </c>
      <c r="B92" s="19" t="s">
        <v>701</v>
      </c>
      <c r="C92" s="6">
        <f t="shared" si="1"/>
        <v>104</v>
      </c>
    </row>
    <row r="93" spans="1:3">
      <c r="A93" s="16">
        <v>41152</v>
      </c>
      <c r="B93" s="19" t="s">
        <v>765</v>
      </c>
      <c r="C93" s="6">
        <f t="shared" si="1"/>
        <v>103.8</v>
      </c>
    </row>
    <row r="94" spans="1:3">
      <c r="A94" s="16">
        <v>41182</v>
      </c>
      <c r="B94" s="19" t="s">
        <v>765</v>
      </c>
      <c r="C94" s="6">
        <f t="shared" si="1"/>
        <v>103.8</v>
      </c>
    </row>
    <row r="95" spans="1:3">
      <c r="A95" s="16">
        <v>41213</v>
      </c>
      <c r="B95" s="19" t="s">
        <v>761</v>
      </c>
      <c r="C95" s="6">
        <f t="shared" si="1"/>
        <v>103.4</v>
      </c>
    </row>
    <row r="96" spans="1:3">
      <c r="A96" s="16">
        <v>41243</v>
      </c>
      <c r="B96" s="19" t="s">
        <v>751</v>
      </c>
      <c r="C96" s="6">
        <f t="shared" si="1"/>
        <v>102.8</v>
      </c>
    </row>
    <row r="97" spans="1:3">
      <c r="A97" s="16">
        <v>41274</v>
      </c>
      <c r="B97" s="19" t="s">
        <v>672</v>
      </c>
      <c r="C97" s="6">
        <f t="shared" si="1"/>
        <v>102.4</v>
      </c>
    </row>
    <row r="98" spans="1:3">
      <c r="A98" s="16">
        <v>41305</v>
      </c>
      <c r="B98" s="19" t="s">
        <v>805</v>
      </c>
      <c r="C98" s="6">
        <f t="shared" si="1"/>
        <v>101.7</v>
      </c>
    </row>
    <row r="99" spans="1:3">
      <c r="A99" s="16">
        <v>41333</v>
      </c>
      <c r="B99" s="19" t="s">
        <v>770</v>
      </c>
      <c r="C99" s="6">
        <f t="shared" si="1"/>
        <v>101.3</v>
      </c>
    </row>
    <row r="100" spans="1:3">
      <c r="A100" s="16">
        <v>41364</v>
      </c>
      <c r="B100" s="19" t="s">
        <v>796</v>
      </c>
      <c r="C100" s="6">
        <f t="shared" si="1"/>
        <v>101</v>
      </c>
    </row>
    <row r="101" spans="1:3">
      <c r="A101" s="16">
        <v>41394</v>
      </c>
      <c r="B101" s="19" t="s">
        <v>748</v>
      </c>
      <c r="C101" s="6">
        <f t="shared" si="1"/>
        <v>100.8</v>
      </c>
    </row>
    <row r="102" spans="1:3">
      <c r="A102" s="16">
        <v>41425</v>
      </c>
      <c r="B102" s="19" t="s">
        <v>806</v>
      </c>
      <c r="C102" s="6">
        <f t="shared" si="1"/>
        <v>100.5</v>
      </c>
    </row>
    <row r="103" spans="1:3">
      <c r="A103" s="16">
        <v>41455</v>
      </c>
      <c r="B103" s="19" t="s">
        <v>696</v>
      </c>
      <c r="C103" s="6">
        <f t="shared" si="1"/>
        <v>100.2</v>
      </c>
    </row>
    <row r="104" spans="1:3">
      <c r="A104" s="16">
        <v>41486</v>
      </c>
      <c r="B104" s="19" t="s">
        <v>692</v>
      </c>
      <c r="C104" s="6">
        <f t="shared" si="1"/>
        <v>101.1</v>
      </c>
    </row>
    <row r="105" spans="1:3">
      <c r="A105" s="16">
        <v>41517</v>
      </c>
      <c r="B105" s="19" t="s">
        <v>692</v>
      </c>
      <c r="C105" s="6">
        <f t="shared" si="1"/>
        <v>101.1</v>
      </c>
    </row>
    <row r="106" spans="1:3">
      <c r="A106" s="16">
        <v>41547</v>
      </c>
      <c r="B106" s="19" t="s">
        <v>796</v>
      </c>
      <c r="C106" s="6">
        <f t="shared" si="1"/>
        <v>101</v>
      </c>
    </row>
    <row r="107" spans="1:3">
      <c r="A107" s="16">
        <v>41578</v>
      </c>
      <c r="B107" s="19" t="s">
        <v>748</v>
      </c>
      <c r="C107" s="6">
        <f t="shared" si="1"/>
        <v>100.8</v>
      </c>
    </row>
    <row r="108" spans="1:3">
      <c r="A108" s="16">
        <v>41608</v>
      </c>
      <c r="B108" s="19" t="s">
        <v>797</v>
      </c>
      <c r="C108" s="6">
        <f t="shared" si="1"/>
        <v>100.6</v>
      </c>
    </row>
    <row r="109" spans="1:3">
      <c r="A109" s="16">
        <v>41639</v>
      </c>
      <c r="B109" s="19" t="s">
        <v>662</v>
      </c>
      <c r="C109" s="6">
        <f t="shared" si="1"/>
        <v>100.7</v>
      </c>
    </row>
    <row r="110" spans="1:3">
      <c r="A110" s="16">
        <v>41670</v>
      </c>
      <c r="B110" s="19" t="s">
        <v>806</v>
      </c>
      <c r="C110" s="6">
        <f t="shared" si="1"/>
        <v>100.5</v>
      </c>
    </row>
    <row r="111" spans="1:3">
      <c r="A111" s="16">
        <v>41698</v>
      </c>
      <c r="B111" s="19" t="s">
        <v>662</v>
      </c>
      <c r="C111" s="6">
        <f t="shared" si="1"/>
        <v>100.7</v>
      </c>
    </row>
    <row r="112" spans="1:3">
      <c r="A112" s="16">
        <v>41729</v>
      </c>
      <c r="B112" s="19" t="s">
        <v>662</v>
      </c>
      <c r="C112" s="6">
        <f t="shared" si="1"/>
        <v>100.7</v>
      </c>
    </row>
    <row r="113" spans="1:3">
      <c r="A113" s="16">
        <v>41759</v>
      </c>
      <c r="B113" s="19" t="s">
        <v>783</v>
      </c>
      <c r="C113" s="6">
        <f t="shared" si="1"/>
        <v>100.3</v>
      </c>
    </row>
    <row r="114" spans="1:3">
      <c r="A114" s="16">
        <v>41790</v>
      </c>
      <c r="B114" s="19" t="s">
        <v>696</v>
      </c>
      <c r="C114" s="6">
        <f t="shared" si="1"/>
        <v>100.2</v>
      </c>
    </row>
    <row r="115" spans="1:3">
      <c r="A115" s="16">
        <v>41820</v>
      </c>
      <c r="B115" s="19" t="s">
        <v>783</v>
      </c>
      <c r="C115" s="6">
        <f t="shared" si="1"/>
        <v>100.3</v>
      </c>
    </row>
    <row r="116" spans="1:3">
      <c r="A116" s="16">
        <v>41851</v>
      </c>
      <c r="B116" s="19" t="s">
        <v>807</v>
      </c>
      <c r="C116" s="6">
        <f t="shared" si="1"/>
        <v>99.8</v>
      </c>
    </row>
    <row r="117" spans="1:3">
      <c r="A117" s="16">
        <v>41882</v>
      </c>
      <c r="B117" s="19" t="s">
        <v>788</v>
      </c>
      <c r="C117" s="6">
        <f t="shared" si="1"/>
        <v>99.7</v>
      </c>
    </row>
    <row r="118" spans="1:3">
      <c r="A118" s="16">
        <v>41912</v>
      </c>
      <c r="B118" s="19" t="s">
        <v>788</v>
      </c>
      <c r="C118" s="6">
        <f t="shared" si="1"/>
        <v>99.7</v>
      </c>
    </row>
    <row r="119" spans="1:3">
      <c r="A119" s="16">
        <v>41943</v>
      </c>
      <c r="B119" s="19" t="s">
        <v>703</v>
      </c>
      <c r="C119" s="6">
        <f t="shared" si="1"/>
        <v>99.4</v>
      </c>
    </row>
    <row r="120" spans="1:3">
      <c r="A120" s="16">
        <v>41973</v>
      </c>
      <c r="B120" s="19" t="s">
        <v>703</v>
      </c>
      <c r="C120" s="6">
        <f t="shared" si="1"/>
        <v>99.4</v>
      </c>
    </row>
    <row r="121" spans="1:3">
      <c r="A121" s="16">
        <v>42004</v>
      </c>
      <c r="B121" s="19" t="s">
        <v>773</v>
      </c>
      <c r="C121" s="6">
        <f t="shared" si="1"/>
        <v>99</v>
      </c>
    </row>
    <row r="122" spans="1:3">
      <c r="A122" s="16">
        <v>42035</v>
      </c>
      <c r="B122" s="19" t="s">
        <v>687</v>
      </c>
      <c r="C122" s="6">
        <f t="shared" si="1"/>
        <v>98.6</v>
      </c>
    </row>
    <row r="123" spans="1:3">
      <c r="A123" s="16">
        <v>42063</v>
      </c>
      <c r="B123" s="19" t="s">
        <v>686</v>
      </c>
      <c r="C123" s="6">
        <f t="shared" si="1"/>
        <v>98.4</v>
      </c>
    </row>
    <row r="124" spans="1:3">
      <c r="A124" s="16">
        <v>42094</v>
      </c>
      <c r="B124" s="19" t="s">
        <v>737</v>
      </c>
      <c r="C124" s="6">
        <f t="shared" si="1"/>
        <v>98.5</v>
      </c>
    </row>
    <row r="125" spans="1:3">
      <c r="A125" s="16">
        <v>42124</v>
      </c>
      <c r="B125" s="19" t="s">
        <v>656</v>
      </c>
      <c r="C125" s="6">
        <f t="shared" si="1"/>
        <v>98.9</v>
      </c>
    </row>
    <row r="126" spans="1:3">
      <c r="A126" s="16">
        <v>42155</v>
      </c>
      <c r="B126" s="19" t="s">
        <v>630</v>
      </c>
      <c r="C126" s="6">
        <f t="shared" si="1"/>
        <v>99.1</v>
      </c>
    </row>
    <row r="127" spans="1:3">
      <c r="A127" s="16">
        <v>42185</v>
      </c>
      <c r="B127" s="19" t="s">
        <v>808</v>
      </c>
      <c r="C127" s="6">
        <f t="shared" si="1"/>
        <v>99.2</v>
      </c>
    </row>
    <row r="128" spans="1:3">
      <c r="A128" s="16">
        <v>42216</v>
      </c>
      <c r="B128" s="19" t="s">
        <v>710</v>
      </c>
      <c r="C128" s="6">
        <f t="shared" si="1"/>
        <v>99.3</v>
      </c>
    </row>
    <row r="129" spans="1:3">
      <c r="A129" s="16">
        <v>42247</v>
      </c>
      <c r="B129" s="19" t="s">
        <v>703</v>
      </c>
      <c r="C129" s="6">
        <f t="shared" si="1"/>
        <v>99.4</v>
      </c>
    </row>
    <row r="130" spans="1:3">
      <c r="A130" s="16">
        <v>42277</v>
      </c>
      <c r="B130" s="19" t="s">
        <v>808</v>
      </c>
      <c r="C130" s="6">
        <f t="shared" si="1"/>
        <v>99.2</v>
      </c>
    </row>
    <row r="131" spans="1:3">
      <c r="A131" s="16">
        <v>42308</v>
      </c>
      <c r="B131" s="19" t="s">
        <v>710</v>
      </c>
      <c r="C131" s="6">
        <f t="shared" ref="C131:C194" si="2">B131*1</f>
        <v>99.3</v>
      </c>
    </row>
    <row r="132" spans="1:3">
      <c r="A132" s="16">
        <v>42338</v>
      </c>
      <c r="B132" s="19" t="s">
        <v>703</v>
      </c>
      <c r="C132" s="6">
        <f t="shared" si="2"/>
        <v>99.4</v>
      </c>
    </row>
    <row r="133" spans="1:3">
      <c r="A133" s="16">
        <v>42369</v>
      </c>
      <c r="B133" s="19" t="s">
        <v>809</v>
      </c>
      <c r="C133" s="6">
        <f t="shared" si="2"/>
        <v>99.5</v>
      </c>
    </row>
    <row r="134" spans="1:3">
      <c r="A134" s="16">
        <v>42400</v>
      </c>
      <c r="B134" s="19" t="s">
        <v>630</v>
      </c>
      <c r="C134" s="6">
        <f t="shared" si="2"/>
        <v>99.1</v>
      </c>
    </row>
    <row r="135" spans="1:3">
      <c r="A135" s="16">
        <v>42429</v>
      </c>
      <c r="B135" s="19" t="s">
        <v>808</v>
      </c>
      <c r="C135" s="6">
        <f t="shared" si="2"/>
        <v>99.2</v>
      </c>
    </row>
    <row r="136" spans="1:3">
      <c r="A136" s="16">
        <v>42460</v>
      </c>
      <c r="B136" s="19" t="s">
        <v>630</v>
      </c>
      <c r="C136" s="6">
        <f t="shared" si="2"/>
        <v>99.1</v>
      </c>
    </row>
    <row r="137" spans="1:3">
      <c r="A137" s="16">
        <v>42490</v>
      </c>
      <c r="B137" s="19" t="s">
        <v>656</v>
      </c>
      <c r="C137" s="6">
        <f t="shared" si="2"/>
        <v>98.9</v>
      </c>
    </row>
    <row r="138" spans="1:3">
      <c r="A138" s="16">
        <v>42521</v>
      </c>
      <c r="B138" s="19" t="s">
        <v>630</v>
      </c>
      <c r="C138" s="6">
        <f t="shared" si="2"/>
        <v>99.1</v>
      </c>
    </row>
    <row r="139" spans="1:3">
      <c r="A139" s="16">
        <v>42551</v>
      </c>
      <c r="B139" s="19" t="s">
        <v>808</v>
      </c>
      <c r="C139" s="6">
        <f t="shared" si="2"/>
        <v>99.2</v>
      </c>
    </row>
    <row r="140" spans="1:3">
      <c r="A140" s="16">
        <v>42582</v>
      </c>
      <c r="B140" s="19" t="s">
        <v>630</v>
      </c>
      <c r="C140" s="6">
        <f t="shared" si="2"/>
        <v>99.1</v>
      </c>
    </row>
    <row r="141" spans="1:3">
      <c r="A141" s="16">
        <v>42613</v>
      </c>
      <c r="B141" s="19" t="s">
        <v>808</v>
      </c>
      <c r="C141" s="6">
        <f t="shared" si="2"/>
        <v>99.2</v>
      </c>
    </row>
    <row r="142" spans="1:3">
      <c r="A142" s="16">
        <v>42643</v>
      </c>
      <c r="B142" s="19" t="s">
        <v>809</v>
      </c>
      <c r="C142" s="6">
        <f t="shared" si="2"/>
        <v>99.5</v>
      </c>
    </row>
    <row r="143" spans="1:3">
      <c r="A143" s="16">
        <v>42674</v>
      </c>
      <c r="B143" s="19" t="s">
        <v>807</v>
      </c>
      <c r="C143" s="6">
        <f t="shared" si="2"/>
        <v>99.8</v>
      </c>
    </row>
    <row r="144" spans="1:3">
      <c r="A144" s="16">
        <v>42704</v>
      </c>
      <c r="B144" s="19" t="s">
        <v>628</v>
      </c>
      <c r="C144" s="6">
        <f t="shared" si="2"/>
        <v>100</v>
      </c>
    </row>
    <row r="145" spans="1:3">
      <c r="A145" s="16">
        <v>42735</v>
      </c>
      <c r="B145" s="19" t="s">
        <v>748</v>
      </c>
      <c r="C145" s="6">
        <f t="shared" si="2"/>
        <v>100.8</v>
      </c>
    </row>
    <row r="146" spans="1:3">
      <c r="A146" s="16">
        <v>42766</v>
      </c>
      <c r="B146" s="19" t="s">
        <v>805</v>
      </c>
      <c r="C146" s="6">
        <f t="shared" si="2"/>
        <v>101.7</v>
      </c>
    </row>
    <row r="147" spans="1:3">
      <c r="A147" s="16">
        <v>42794</v>
      </c>
      <c r="B147" s="19" t="s">
        <v>757</v>
      </c>
      <c r="C147" s="6">
        <f t="shared" si="2"/>
        <v>102.2</v>
      </c>
    </row>
    <row r="148" spans="1:3">
      <c r="A148" s="16">
        <v>42825</v>
      </c>
      <c r="B148" s="19" t="s">
        <v>803</v>
      </c>
      <c r="C148" s="6">
        <f t="shared" si="2"/>
        <v>102</v>
      </c>
    </row>
    <row r="149" spans="1:3">
      <c r="A149" s="16">
        <v>42855</v>
      </c>
      <c r="B149" s="19" t="s">
        <v>803</v>
      </c>
      <c r="C149" s="6">
        <f t="shared" si="2"/>
        <v>102</v>
      </c>
    </row>
    <row r="150" spans="1:3">
      <c r="A150" s="16">
        <v>42886</v>
      </c>
      <c r="B150" s="19" t="s">
        <v>668</v>
      </c>
      <c r="C150" s="6">
        <f t="shared" si="2"/>
        <v>101.9</v>
      </c>
    </row>
    <row r="151" spans="1:3">
      <c r="A151" s="16">
        <v>42916</v>
      </c>
      <c r="B151" s="19" t="s">
        <v>661</v>
      </c>
      <c r="C151" s="6">
        <f t="shared" si="2"/>
        <v>101.5</v>
      </c>
    </row>
    <row r="152" spans="1:3">
      <c r="A152" s="16">
        <v>42947</v>
      </c>
      <c r="B152" s="19" t="s">
        <v>805</v>
      </c>
      <c r="C152" s="6">
        <f t="shared" si="2"/>
        <v>101.7</v>
      </c>
    </row>
    <row r="153" spans="1:3">
      <c r="A153" s="16">
        <v>42978</v>
      </c>
      <c r="B153" s="19" t="s">
        <v>636</v>
      </c>
      <c r="C153" s="6">
        <f t="shared" si="2"/>
        <v>101.8</v>
      </c>
    </row>
    <row r="154" spans="1:3">
      <c r="A154" s="16">
        <v>43008</v>
      </c>
      <c r="B154" s="19" t="s">
        <v>757</v>
      </c>
      <c r="C154" s="6">
        <f t="shared" si="2"/>
        <v>102.2</v>
      </c>
    </row>
    <row r="155" spans="1:3">
      <c r="A155" s="16">
        <v>43039</v>
      </c>
      <c r="B155" s="19" t="s">
        <v>645</v>
      </c>
      <c r="C155" s="6">
        <f t="shared" si="2"/>
        <v>102.1</v>
      </c>
    </row>
    <row r="156" spans="1:3">
      <c r="A156" s="16">
        <v>43069</v>
      </c>
      <c r="B156" s="19" t="s">
        <v>643</v>
      </c>
      <c r="C156" s="6">
        <f t="shared" si="2"/>
        <v>102.5</v>
      </c>
    </row>
    <row r="157" spans="1:3">
      <c r="A157" s="16">
        <v>43100</v>
      </c>
      <c r="B157" s="19" t="s">
        <v>645</v>
      </c>
      <c r="C157" s="6">
        <f t="shared" si="2"/>
        <v>102.1</v>
      </c>
    </row>
    <row r="158" spans="1:3">
      <c r="A158" s="16">
        <v>43131</v>
      </c>
      <c r="B158" s="19" t="s">
        <v>668</v>
      </c>
      <c r="C158" s="6">
        <f t="shared" si="2"/>
        <v>101.9</v>
      </c>
    </row>
    <row r="159" spans="1:3">
      <c r="A159" s="16">
        <v>43159</v>
      </c>
      <c r="B159" s="19" t="s">
        <v>721</v>
      </c>
      <c r="C159" s="6">
        <f t="shared" si="2"/>
        <v>101.4</v>
      </c>
    </row>
    <row r="160" spans="1:3">
      <c r="A160" s="16">
        <v>43190</v>
      </c>
      <c r="B160" s="19" t="s">
        <v>770</v>
      </c>
      <c r="C160" s="6">
        <f t="shared" si="2"/>
        <v>101.3</v>
      </c>
    </row>
    <row r="161" spans="1:3">
      <c r="A161" s="16">
        <v>43220</v>
      </c>
      <c r="B161" s="19" t="s">
        <v>683</v>
      </c>
      <c r="C161" s="6">
        <f t="shared" si="2"/>
        <v>101.6</v>
      </c>
    </row>
    <row r="162" spans="1:3">
      <c r="A162" s="16">
        <v>43251</v>
      </c>
      <c r="B162" s="19" t="s">
        <v>805</v>
      </c>
      <c r="C162" s="6">
        <f t="shared" si="2"/>
        <v>101.7</v>
      </c>
    </row>
    <row r="163" spans="1:3">
      <c r="A163" s="16">
        <v>43281</v>
      </c>
      <c r="B163" s="19" t="s">
        <v>803</v>
      </c>
      <c r="C163" s="6">
        <f t="shared" si="2"/>
        <v>102</v>
      </c>
    </row>
    <row r="164" spans="1:3">
      <c r="A164" s="16">
        <v>43312</v>
      </c>
      <c r="B164" s="19" t="s">
        <v>803</v>
      </c>
      <c r="C164" s="6">
        <f t="shared" si="2"/>
        <v>102</v>
      </c>
    </row>
    <row r="165" spans="1:3">
      <c r="A165" s="16">
        <v>43343</v>
      </c>
      <c r="B165" s="19" t="s">
        <v>803</v>
      </c>
      <c r="C165" s="6">
        <f t="shared" si="2"/>
        <v>102</v>
      </c>
    </row>
    <row r="166" spans="1:3">
      <c r="A166" s="16">
        <v>43373</v>
      </c>
      <c r="B166" s="19" t="s">
        <v>668</v>
      </c>
      <c r="C166" s="6">
        <f t="shared" si="2"/>
        <v>101.9</v>
      </c>
    </row>
    <row r="167" spans="1:3">
      <c r="A167" s="16">
        <v>43404</v>
      </c>
      <c r="B167" s="19" t="s">
        <v>636</v>
      </c>
      <c r="C167" s="6">
        <f t="shared" si="2"/>
        <v>101.8</v>
      </c>
    </row>
    <row r="168" spans="1:3">
      <c r="A168" s="16">
        <v>43434</v>
      </c>
      <c r="B168" s="19" t="s">
        <v>770</v>
      </c>
      <c r="C168" s="6">
        <f t="shared" si="2"/>
        <v>101.3</v>
      </c>
    </row>
    <row r="169" spans="1:3">
      <c r="A169" s="16">
        <v>43465</v>
      </c>
      <c r="B169" s="19" t="s">
        <v>692</v>
      </c>
      <c r="C169" s="6">
        <f t="shared" si="2"/>
        <v>101.1</v>
      </c>
    </row>
    <row r="170" spans="1:3">
      <c r="A170" s="16">
        <v>43496</v>
      </c>
      <c r="B170" s="19" t="s">
        <v>662</v>
      </c>
      <c r="C170" s="6">
        <f t="shared" si="2"/>
        <v>100.7</v>
      </c>
    </row>
    <row r="171" spans="1:3">
      <c r="A171" s="16">
        <v>43524</v>
      </c>
      <c r="B171" s="19" t="s">
        <v>781</v>
      </c>
      <c r="C171" s="6">
        <f t="shared" si="2"/>
        <v>101.2</v>
      </c>
    </row>
    <row r="172" spans="1:3">
      <c r="A172" s="16">
        <v>43555</v>
      </c>
      <c r="B172" s="19" t="s">
        <v>805</v>
      </c>
      <c r="C172" s="6">
        <f t="shared" si="2"/>
        <v>101.7</v>
      </c>
    </row>
    <row r="173" spans="1:3">
      <c r="A173" s="16">
        <v>43585</v>
      </c>
      <c r="B173" s="19" t="s">
        <v>757</v>
      </c>
      <c r="C173" s="6">
        <f t="shared" si="2"/>
        <v>102.2</v>
      </c>
    </row>
    <row r="174" spans="1:3">
      <c r="A174" s="16">
        <v>43616</v>
      </c>
      <c r="B174" s="19" t="s">
        <v>672</v>
      </c>
      <c r="C174" s="6">
        <f t="shared" si="2"/>
        <v>102.4</v>
      </c>
    </row>
    <row r="175" spans="1:3">
      <c r="A175" s="16">
        <v>43646</v>
      </c>
      <c r="B175" s="19" t="s">
        <v>654</v>
      </c>
      <c r="C175" s="6">
        <f t="shared" si="2"/>
        <v>102.6</v>
      </c>
    </row>
    <row r="176" spans="1:3">
      <c r="A176" s="16">
        <v>43677</v>
      </c>
      <c r="B176" s="19" t="s">
        <v>802</v>
      </c>
      <c r="C176" s="6">
        <f t="shared" si="2"/>
        <v>102.9</v>
      </c>
    </row>
    <row r="177" spans="1:3">
      <c r="A177" s="16">
        <v>43708</v>
      </c>
      <c r="B177" s="19" t="s">
        <v>802</v>
      </c>
      <c r="C177" s="6">
        <f t="shared" si="2"/>
        <v>102.9</v>
      </c>
    </row>
    <row r="178" spans="1:3">
      <c r="A178" s="16">
        <v>43738</v>
      </c>
      <c r="B178" s="19" t="s">
        <v>654</v>
      </c>
      <c r="C178" s="6">
        <f t="shared" si="2"/>
        <v>102.6</v>
      </c>
    </row>
    <row r="179" spans="1:3">
      <c r="A179" s="16">
        <v>43769</v>
      </c>
      <c r="B179" s="19" t="s">
        <v>643</v>
      </c>
      <c r="C179" s="6">
        <f t="shared" si="2"/>
        <v>102.5</v>
      </c>
    </row>
    <row r="180" spans="1:3">
      <c r="A180" s="16">
        <v>43799</v>
      </c>
      <c r="B180" s="19" t="s">
        <v>654</v>
      </c>
      <c r="C180" s="6">
        <f t="shared" si="2"/>
        <v>102.6</v>
      </c>
    </row>
    <row r="181" spans="1:3">
      <c r="A181" s="16">
        <v>43830</v>
      </c>
      <c r="B181" s="19" t="s">
        <v>761</v>
      </c>
      <c r="C181" s="6">
        <f t="shared" si="2"/>
        <v>103.4</v>
      </c>
    </row>
    <row r="182" spans="1:3">
      <c r="A182" s="16">
        <v>43861</v>
      </c>
      <c r="B182" s="19" t="s">
        <v>647</v>
      </c>
      <c r="C182" s="6">
        <f t="shared" si="2"/>
        <v>104.3</v>
      </c>
    </row>
    <row r="183" spans="1:3">
      <c r="A183" s="16">
        <v>43890</v>
      </c>
      <c r="B183" s="19" t="s">
        <v>779</v>
      </c>
      <c r="C183" s="6">
        <f t="shared" si="2"/>
        <v>104.7</v>
      </c>
    </row>
    <row r="184" spans="1:3">
      <c r="A184" s="16">
        <v>43921</v>
      </c>
      <c r="B184" s="19" t="s">
        <v>724</v>
      </c>
      <c r="C184" s="6">
        <f t="shared" si="2"/>
        <v>104.6</v>
      </c>
    </row>
    <row r="185" spans="1:3">
      <c r="A185" s="16">
        <v>43951</v>
      </c>
      <c r="B185" s="19" t="s">
        <v>761</v>
      </c>
      <c r="C185" s="6">
        <f t="shared" si="2"/>
        <v>103.4</v>
      </c>
    </row>
    <row r="186" spans="1:3">
      <c r="A186" s="16">
        <v>43982</v>
      </c>
      <c r="B186" s="19" t="s">
        <v>802</v>
      </c>
      <c r="C186" s="6">
        <f t="shared" si="2"/>
        <v>102.9</v>
      </c>
    </row>
    <row r="187" spans="1:3">
      <c r="A187" s="16">
        <v>44012</v>
      </c>
      <c r="B187" s="19" t="s">
        <v>690</v>
      </c>
      <c r="C187" s="6">
        <f t="shared" si="2"/>
        <v>103.3</v>
      </c>
    </row>
    <row r="188" spans="1:3">
      <c r="A188" s="16">
        <v>44043</v>
      </c>
      <c r="B188" s="19" t="s">
        <v>714</v>
      </c>
      <c r="C188" s="6">
        <f t="shared" si="2"/>
        <v>103</v>
      </c>
    </row>
    <row r="189" spans="1:3">
      <c r="A189" s="16">
        <v>44074</v>
      </c>
      <c r="B189" s="19" t="s">
        <v>802</v>
      </c>
      <c r="C189" s="6">
        <f t="shared" si="2"/>
        <v>102.9</v>
      </c>
    </row>
    <row r="190" spans="1:3">
      <c r="A190" s="16">
        <v>44104</v>
      </c>
      <c r="B190" s="19" t="s">
        <v>810</v>
      </c>
      <c r="C190" s="6">
        <f t="shared" si="2"/>
        <v>103.2</v>
      </c>
    </row>
    <row r="191" spans="1:3">
      <c r="A191" s="16">
        <v>44135</v>
      </c>
      <c r="B191" s="19" t="s">
        <v>680</v>
      </c>
      <c r="C191" s="6">
        <f t="shared" si="2"/>
        <v>103.1</v>
      </c>
    </row>
    <row r="192" spans="1:3">
      <c r="A192" s="16">
        <v>44165</v>
      </c>
      <c r="B192" s="19" t="s">
        <v>714</v>
      </c>
      <c r="C192" s="6">
        <f t="shared" si="2"/>
        <v>103</v>
      </c>
    </row>
    <row r="193" spans="1:3">
      <c r="A193" s="16">
        <v>44196</v>
      </c>
      <c r="B193" s="19" t="s">
        <v>672</v>
      </c>
      <c r="C193" s="6">
        <f t="shared" si="2"/>
        <v>102.4</v>
      </c>
    </row>
    <row r="194" spans="1:3">
      <c r="A194" s="16">
        <v>44227</v>
      </c>
      <c r="B194" s="19" t="s">
        <v>654</v>
      </c>
      <c r="C194" s="6">
        <f t="shared" si="2"/>
        <v>102.6</v>
      </c>
    </row>
    <row r="195" spans="1:3">
      <c r="A195" s="16">
        <v>44255</v>
      </c>
      <c r="B195" s="19" t="s">
        <v>672</v>
      </c>
      <c r="C195" s="6">
        <f t="shared" ref="C195:C244" si="3">B195*1</f>
        <v>102.4</v>
      </c>
    </row>
    <row r="196" spans="1:3">
      <c r="A196" s="16">
        <v>44286</v>
      </c>
      <c r="B196" s="19" t="s">
        <v>810</v>
      </c>
      <c r="C196" s="6">
        <f t="shared" si="3"/>
        <v>103.2</v>
      </c>
    </row>
    <row r="197" spans="1:3">
      <c r="A197" s="16">
        <v>44316</v>
      </c>
      <c r="B197" s="19" t="s">
        <v>647</v>
      </c>
      <c r="C197" s="6">
        <f t="shared" si="3"/>
        <v>104.3</v>
      </c>
    </row>
    <row r="198" spans="1:3">
      <c r="A198" s="16">
        <v>44347</v>
      </c>
      <c r="B198" s="19" t="s">
        <v>779</v>
      </c>
      <c r="C198" s="6">
        <f t="shared" si="3"/>
        <v>104.7</v>
      </c>
    </row>
    <row r="199" spans="1:3">
      <c r="A199" s="16">
        <v>44377</v>
      </c>
      <c r="B199" s="19" t="s">
        <v>660</v>
      </c>
      <c r="C199" s="6">
        <f t="shared" si="3"/>
        <v>104.4</v>
      </c>
    </row>
    <row r="200" spans="1:3">
      <c r="A200" s="16">
        <v>44408</v>
      </c>
      <c r="B200" s="19" t="s">
        <v>744</v>
      </c>
      <c r="C200" s="6">
        <f t="shared" si="3"/>
        <v>105</v>
      </c>
    </row>
    <row r="201" spans="1:3">
      <c r="A201" s="16">
        <v>44439</v>
      </c>
      <c r="B201" s="19" t="s">
        <v>704</v>
      </c>
      <c r="C201" s="6">
        <f t="shared" si="3"/>
        <v>105.5</v>
      </c>
    </row>
    <row r="202" spans="1:3">
      <c r="A202" s="16">
        <v>44469</v>
      </c>
      <c r="B202" s="19" t="s">
        <v>811</v>
      </c>
      <c r="C202" s="6">
        <f t="shared" si="3"/>
        <v>105.9</v>
      </c>
    </row>
    <row r="203" spans="1:3">
      <c r="A203" s="16">
        <v>44500</v>
      </c>
      <c r="B203" s="19" t="s">
        <v>684</v>
      </c>
      <c r="C203" s="6">
        <f t="shared" si="3"/>
        <v>106.8</v>
      </c>
    </row>
    <row r="204" spans="1:3">
      <c r="A204" s="16">
        <v>44530</v>
      </c>
      <c r="B204" s="19" t="s">
        <v>705</v>
      </c>
      <c r="C204" s="6">
        <f t="shared" si="3"/>
        <v>107.8</v>
      </c>
    </row>
    <row r="205" spans="1:3">
      <c r="A205" s="16">
        <v>44561</v>
      </c>
      <c r="B205" s="19" t="s">
        <v>646</v>
      </c>
      <c r="C205" s="6">
        <f t="shared" si="3"/>
        <v>108.6</v>
      </c>
    </row>
    <row r="206" spans="1:3">
      <c r="A206" s="16">
        <v>44592</v>
      </c>
      <c r="B206" s="19" t="s">
        <v>715</v>
      </c>
      <c r="C206" s="6">
        <f t="shared" si="3"/>
        <v>109.4</v>
      </c>
    </row>
    <row r="207" spans="1:3">
      <c r="A207" s="16">
        <v>44620</v>
      </c>
      <c r="B207" s="19" t="s">
        <v>812</v>
      </c>
      <c r="C207" s="6">
        <f t="shared" si="3"/>
        <v>108.5</v>
      </c>
    </row>
    <row r="208" spans="1:3">
      <c r="A208" s="16">
        <v>44651</v>
      </c>
      <c r="B208" s="19" t="s">
        <v>694</v>
      </c>
      <c r="C208" s="6">
        <f t="shared" si="3"/>
        <v>111</v>
      </c>
    </row>
    <row r="209" spans="1:3">
      <c r="A209" s="16">
        <v>44681</v>
      </c>
      <c r="B209" s="19" t="s">
        <v>813</v>
      </c>
      <c r="C209" s="6">
        <f t="shared" si="3"/>
        <v>112.4</v>
      </c>
    </row>
    <row r="210" spans="1:3">
      <c r="A210" s="16">
        <v>44712</v>
      </c>
      <c r="B210" s="19" t="s">
        <v>760</v>
      </c>
      <c r="C210" s="6">
        <f t="shared" si="3"/>
        <v>113.9</v>
      </c>
    </row>
    <row r="211" spans="1:3">
      <c r="A211" s="16">
        <v>44742</v>
      </c>
      <c r="B211" s="19" t="s">
        <v>814</v>
      </c>
      <c r="C211" s="6">
        <f t="shared" si="3"/>
        <v>115.5</v>
      </c>
    </row>
    <row r="212" spans="1:3">
      <c r="A212" s="16">
        <v>44773</v>
      </c>
      <c r="B212" s="19" t="s">
        <v>673</v>
      </c>
      <c r="C212" s="6">
        <f t="shared" si="3"/>
        <v>115.6</v>
      </c>
    </row>
    <row r="213" spans="1:3">
      <c r="A213" s="16">
        <v>44804</v>
      </c>
      <c r="B213" s="19" t="s">
        <v>815</v>
      </c>
      <c r="C213" s="6">
        <f t="shared" si="3"/>
        <v>116.1</v>
      </c>
    </row>
    <row r="214" spans="1:3">
      <c r="A214" s="16">
        <v>44834</v>
      </c>
      <c r="B214" s="19" t="s">
        <v>816</v>
      </c>
      <c r="C214" s="6">
        <f t="shared" si="3"/>
        <v>117.2</v>
      </c>
    </row>
    <row r="215" spans="1:3">
      <c r="A215" s="16">
        <v>44865</v>
      </c>
      <c r="B215" s="19" t="s">
        <v>817</v>
      </c>
      <c r="C215" s="6">
        <f t="shared" si="3"/>
        <v>117.9</v>
      </c>
    </row>
    <row r="216" spans="1:3">
      <c r="A216" s="16">
        <v>44895</v>
      </c>
      <c r="B216" s="19" t="s">
        <v>818</v>
      </c>
      <c r="C216" s="6">
        <f t="shared" si="3"/>
        <v>117.5</v>
      </c>
    </row>
    <row r="217" spans="1:3">
      <c r="A217" s="16">
        <v>44926</v>
      </c>
      <c r="B217" s="19" t="s">
        <v>667</v>
      </c>
      <c r="C217" s="6">
        <f t="shared" si="3"/>
        <v>116.6</v>
      </c>
    </row>
    <row r="218" spans="1:3">
      <c r="A218" s="16">
        <v>44957</v>
      </c>
      <c r="B218" s="19" t="s">
        <v>667</v>
      </c>
      <c r="C218" s="6">
        <f t="shared" si="3"/>
        <v>116.6</v>
      </c>
    </row>
    <row r="219" spans="1:3">
      <c r="A219" s="16">
        <v>44985</v>
      </c>
      <c r="B219" s="19" t="s">
        <v>819</v>
      </c>
      <c r="C219" s="6">
        <f t="shared" si="3"/>
        <v>118.4</v>
      </c>
    </row>
    <row r="220" spans="1:3">
      <c r="A220" s="16">
        <v>45016</v>
      </c>
      <c r="B220" s="19" t="s">
        <v>815</v>
      </c>
      <c r="C220" s="6">
        <f t="shared" si="3"/>
        <v>116.1</v>
      </c>
    </row>
    <row r="221" spans="1:3">
      <c r="A221" s="16">
        <v>45046</v>
      </c>
      <c r="B221" s="19" t="s">
        <v>820</v>
      </c>
      <c r="C221" s="6">
        <f t="shared" si="3"/>
        <v>114.7</v>
      </c>
    </row>
    <row r="222" spans="1:3">
      <c r="A222" s="16">
        <v>45077</v>
      </c>
      <c r="B222" s="19" t="s">
        <v>821</v>
      </c>
      <c r="C222" s="6">
        <f t="shared" si="3"/>
        <v>113</v>
      </c>
    </row>
    <row r="223" spans="1:3">
      <c r="A223" s="16">
        <v>45107</v>
      </c>
      <c r="B223" s="19" t="s">
        <v>822</v>
      </c>
      <c r="C223" s="6">
        <f t="shared" si="3"/>
        <v>111.5</v>
      </c>
    </row>
    <row r="224" spans="1:3">
      <c r="A224" s="16">
        <v>45138</v>
      </c>
      <c r="B224" s="19" t="s">
        <v>753</v>
      </c>
      <c r="C224" s="6">
        <f t="shared" si="3"/>
        <v>110.8</v>
      </c>
    </row>
    <row r="225" spans="1:3">
      <c r="A225" s="16">
        <v>45169</v>
      </c>
      <c r="B225" s="19" t="s">
        <v>823</v>
      </c>
      <c r="C225" s="6">
        <f t="shared" si="3"/>
        <v>110.1</v>
      </c>
    </row>
    <row r="226" spans="1:3">
      <c r="A226" s="16">
        <v>45199</v>
      </c>
      <c r="B226" s="19" t="s">
        <v>824</v>
      </c>
      <c r="C226" s="6">
        <f t="shared" si="3"/>
        <v>108.2</v>
      </c>
    </row>
    <row r="227" spans="1:3">
      <c r="A227" s="16">
        <v>45230</v>
      </c>
      <c r="B227" s="19" t="s">
        <v>642</v>
      </c>
      <c r="C227" s="6">
        <f t="shared" si="3"/>
        <v>106.6</v>
      </c>
    </row>
    <row r="228" spans="1:3">
      <c r="A228" s="16">
        <v>45260</v>
      </c>
      <c r="B228" s="19" t="s">
        <v>642</v>
      </c>
      <c r="C228" s="6">
        <f t="shared" si="3"/>
        <v>106.6</v>
      </c>
    </row>
    <row r="229" spans="1:3">
      <c r="A229" s="16">
        <v>45291</v>
      </c>
      <c r="B229" s="19" t="s">
        <v>825</v>
      </c>
      <c r="C229" s="6">
        <f t="shared" si="3"/>
        <v>106.2</v>
      </c>
    </row>
    <row r="230" spans="1:3">
      <c r="A230" s="16">
        <v>45322</v>
      </c>
      <c r="B230" s="19" t="s">
        <v>795</v>
      </c>
      <c r="C230" s="6">
        <f t="shared" si="3"/>
        <v>103.7</v>
      </c>
    </row>
    <row r="231" spans="1:3">
      <c r="A231" s="16">
        <v>45351</v>
      </c>
      <c r="B231" s="19" t="s">
        <v>751</v>
      </c>
      <c r="C231" s="6">
        <f t="shared" si="3"/>
        <v>102.8</v>
      </c>
    </row>
    <row r="232" spans="1:3">
      <c r="A232" s="16">
        <v>45382</v>
      </c>
      <c r="B232" s="19" t="s">
        <v>803</v>
      </c>
      <c r="C232" s="6">
        <f t="shared" si="3"/>
        <v>102</v>
      </c>
    </row>
    <row r="233" spans="1:3">
      <c r="A233" s="16">
        <v>45412</v>
      </c>
      <c r="B233" s="19" t="s">
        <v>672</v>
      </c>
      <c r="C233" s="6">
        <f t="shared" si="3"/>
        <v>102.4</v>
      </c>
    </row>
    <row r="234" spans="1:3">
      <c r="A234" s="16">
        <v>45443</v>
      </c>
      <c r="B234" s="19" t="s">
        <v>643</v>
      </c>
      <c r="C234" s="6">
        <f t="shared" si="3"/>
        <v>102.5</v>
      </c>
    </row>
    <row r="235" spans="1:3">
      <c r="A235" s="16">
        <v>45473</v>
      </c>
      <c r="B235" s="19" t="s">
        <v>654</v>
      </c>
      <c r="C235" s="6">
        <f t="shared" si="3"/>
        <v>102.6</v>
      </c>
    </row>
    <row r="236" spans="1:3">
      <c r="A236" s="16">
        <v>45504</v>
      </c>
      <c r="B236" s="19" t="s">
        <v>747</v>
      </c>
      <c r="C236" s="6">
        <f t="shared" si="3"/>
        <v>104.2</v>
      </c>
    </row>
    <row r="237" spans="1:3">
      <c r="A237" s="16">
        <v>45535</v>
      </c>
      <c r="B237" s="19" t="s">
        <v>647</v>
      </c>
      <c r="C237" s="6">
        <f t="shared" si="3"/>
        <v>104.3</v>
      </c>
    </row>
    <row r="238" spans="1:3">
      <c r="A238" s="16">
        <v>45565</v>
      </c>
      <c r="B238" s="19" t="s">
        <v>767</v>
      </c>
      <c r="C238" s="6">
        <f t="shared" si="3"/>
        <v>104.9</v>
      </c>
    </row>
    <row r="239" spans="1:3">
      <c r="A239" s="16">
        <v>45596</v>
      </c>
      <c r="B239" s="19" t="s">
        <v>744</v>
      </c>
      <c r="C239" s="6">
        <f t="shared" si="3"/>
        <v>105</v>
      </c>
    </row>
    <row r="240" spans="1:3">
      <c r="A240" s="16">
        <v>45626</v>
      </c>
      <c r="B240" s="19" t="s">
        <v>779</v>
      </c>
      <c r="C240" s="6">
        <f t="shared" si="3"/>
        <v>104.7</v>
      </c>
    </row>
    <row r="241" spans="1:3">
      <c r="A241" s="16">
        <v>45657</v>
      </c>
      <c r="B241" s="19" t="s">
        <v>779</v>
      </c>
      <c r="C241" s="6">
        <f t="shared" si="3"/>
        <v>104.7</v>
      </c>
    </row>
    <row r="242" spans="1:3">
      <c r="A242" s="16">
        <v>45688</v>
      </c>
      <c r="B242" s="19" t="s">
        <v>767</v>
      </c>
      <c r="C242" s="6">
        <f t="shared" si="3"/>
        <v>104.9</v>
      </c>
    </row>
    <row r="243" spans="1:3">
      <c r="A243" s="16">
        <v>45716</v>
      </c>
      <c r="B243" s="19" t="s">
        <v>767</v>
      </c>
      <c r="C243" s="6">
        <f t="shared" si="3"/>
        <v>104.9</v>
      </c>
    </row>
    <row r="244" spans="1:3">
      <c r="A244" s="16">
        <v>45747</v>
      </c>
      <c r="B244" s="19" t="s">
        <v>767</v>
      </c>
      <c r="C244" s="6">
        <f t="shared" si="3"/>
        <v>104.9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975D8-B1DE-4909-AC85-D121AE41D4D8}">
  <dimension ref="A1:C216"/>
  <sheetViews>
    <sheetView workbookViewId="0">
      <selection activeCell="E2" sqref="E2"/>
    </sheetView>
  </sheetViews>
  <sheetFormatPr defaultRowHeight="15"/>
  <cols>
    <col min="1" max="1" width="10.140625" bestFit="1" customWidth="1"/>
    <col min="2" max="2" width="13.42578125" bestFit="1" customWidth="1"/>
  </cols>
  <sheetData>
    <row r="1" spans="1:3">
      <c r="A1" t="s">
        <v>0</v>
      </c>
      <c r="B1" t="s">
        <v>1</v>
      </c>
      <c r="C1" t="s">
        <v>626</v>
      </c>
    </row>
    <row r="2" spans="1:3">
      <c r="A2" s="1">
        <v>35854</v>
      </c>
      <c r="B2" s="7" t="s">
        <v>3</v>
      </c>
      <c r="C2" s="6">
        <f>inrtpl_m_m[[#This Row],[Zamkniecie]]*1</f>
        <v>24</v>
      </c>
    </row>
    <row r="3" spans="1:3">
      <c r="A3" s="1">
        <v>35915</v>
      </c>
      <c r="B3" s="8" t="s">
        <v>4</v>
      </c>
      <c r="C3" s="6">
        <f>inrtpl_m_m[[#This Row],[Zamkniecie]]*1</f>
        <v>23</v>
      </c>
    </row>
    <row r="4" spans="1:3">
      <c r="A4" s="1">
        <v>35946</v>
      </c>
      <c r="B4" s="7">
        <v>21.5</v>
      </c>
      <c r="C4" s="6">
        <f>inrtpl_m_m[[#This Row],[Zamkniecie]]*1</f>
        <v>21.5</v>
      </c>
    </row>
    <row r="5" spans="1:3">
      <c r="A5" s="1">
        <v>36007</v>
      </c>
      <c r="B5" s="7" t="s">
        <v>5</v>
      </c>
      <c r="C5" s="6">
        <f>inrtpl_m_m[[#This Row],[Zamkniecie]]*1</f>
        <v>19</v>
      </c>
    </row>
    <row r="6" spans="1:3">
      <c r="A6" s="1">
        <v>36068</v>
      </c>
      <c r="B6" s="7" t="s">
        <v>6</v>
      </c>
      <c r="C6" s="6">
        <f>inrtpl_m_m[[#This Row],[Zamkniecie]]*1</f>
        <v>18</v>
      </c>
    </row>
    <row r="7" spans="1:3">
      <c r="A7" s="1">
        <v>36099</v>
      </c>
      <c r="B7" s="7" t="s">
        <v>7</v>
      </c>
      <c r="C7" s="6">
        <f>inrtpl_m_m[[#This Row],[Zamkniecie]]*1</f>
        <v>17</v>
      </c>
    </row>
    <row r="8" spans="1:3">
      <c r="A8" s="1">
        <v>36160</v>
      </c>
      <c r="B8" s="7">
        <v>15.5</v>
      </c>
      <c r="C8" s="6">
        <f>inrtpl_m_m[[#This Row],[Zamkniecie]]*1</f>
        <v>15.5</v>
      </c>
    </row>
    <row r="9" spans="1:3">
      <c r="A9" s="1">
        <v>36191</v>
      </c>
      <c r="B9" s="7" t="s">
        <v>8</v>
      </c>
      <c r="C9" s="6">
        <f>inrtpl_m_m[[#This Row],[Zamkniecie]]*1</f>
        <v>13</v>
      </c>
    </row>
    <row r="10" spans="1:3">
      <c r="A10" s="1">
        <v>36433</v>
      </c>
      <c r="B10" s="7" t="s">
        <v>9</v>
      </c>
      <c r="C10" s="6">
        <f>inrtpl_m_m[[#This Row],[Zamkniecie]]*1</f>
        <v>14</v>
      </c>
    </row>
    <row r="11" spans="1:3">
      <c r="A11" s="1">
        <v>36494</v>
      </c>
      <c r="B11" s="7">
        <v>16.5</v>
      </c>
      <c r="C11" s="6">
        <f>inrtpl_m_m[[#This Row],[Zamkniecie]]*1</f>
        <v>16.5</v>
      </c>
    </row>
    <row r="12" spans="1:3">
      <c r="A12" s="1">
        <v>36585</v>
      </c>
      <c r="B12" s="7">
        <v>17.5</v>
      </c>
      <c r="C12" s="6">
        <f>inrtpl_m_m[[#This Row],[Zamkniecie]]*1</f>
        <v>17.5</v>
      </c>
    </row>
    <row r="13" spans="1:3">
      <c r="A13" s="1">
        <v>36769</v>
      </c>
      <c r="B13" s="7" t="s">
        <v>5</v>
      </c>
      <c r="C13" s="6">
        <f>inrtpl_m_m[[#This Row],[Zamkniecie]]*1</f>
        <v>19</v>
      </c>
    </row>
    <row r="14" spans="1:3">
      <c r="A14" s="1">
        <v>36981</v>
      </c>
      <c r="B14" s="7" t="s">
        <v>7</v>
      </c>
      <c r="C14" s="6">
        <f>inrtpl_m_m[[#This Row],[Zamkniecie]]*1</f>
        <v>17</v>
      </c>
    </row>
    <row r="15" spans="1:3">
      <c r="A15" s="1">
        <v>37072</v>
      </c>
      <c r="B15" s="7">
        <v>15.5</v>
      </c>
      <c r="C15" s="6">
        <f>inrtpl_m_m[[#This Row],[Zamkniecie]]*1</f>
        <v>15.5</v>
      </c>
    </row>
    <row r="16" spans="1:3">
      <c r="A16" s="1">
        <v>37134</v>
      </c>
      <c r="B16" s="7">
        <v>14.5</v>
      </c>
      <c r="C16" s="6">
        <f>inrtpl_m_m[[#This Row],[Zamkniecie]]*1</f>
        <v>14.5</v>
      </c>
    </row>
    <row r="17" spans="1:3">
      <c r="A17" s="1">
        <v>37195</v>
      </c>
      <c r="B17" s="7" t="s">
        <v>8</v>
      </c>
      <c r="C17" s="6">
        <f>inrtpl_m_m[[#This Row],[Zamkniecie]]*1</f>
        <v>13</v>
      </c>
    </row>
    <row r="18" spans="1:3">
      <c r="A18" s="1">
        <v>37225</v>
      </c>
      <c r="B18" s="7">
        <v>11.5</v>
      </c>
      <c r="C18" s="6">
        <f>inrtpl_m_m[[#This Row],[Zamkniecie]]*1</f>
        <v>11.5</v>
      </c>
    </row>
    <row r="19" spans="1:3">
      <c r="A19" s="1">
        <v>37256</v>
      </c>
      <c r="B19" s="7">
        <v>11.5</v>
      </c>
      <c r="C19" s="6">
        <f>inrtpl_m_m[[#This Row],[Zamkniecie]]*1</f>
        <v>11.5</v>
      </c>
    </row>
    <row r="20" spans="1:3">
      <c r="A20" s="1">
        <v>37287</v>
      </c>
      <c r="B20" s="7" t="s">
        <v>10</v>
      </c>
      <c r="C20" s="6">
        <f>inrtpl_m_m[[#This Row],[Zamkniecie]]*1</f>
        <v>10</v>
      </c>
    </row>
    <row r="21" spans="1:3">
      <c r="A21" s="1">
        <v>37376</v>
      </c>
      <c r="B21" s="7">
        <v>9.5</v>
      </c>
      <c r="C21" s="6">
        <f>inrtpl_m_m[[#This Row],[Zamkniecie]]*1</f>
        <v>9.5</v>
      </c>
    </row>
    <row r="22" spans="1:3">
      <c r="A22" s="1">
        <v>37407</v>
      </c>
      <c r="B22" s="7" t="s">
        <v>11</v>
      </c>
      <c r="C22" s="6">
        <f>inrtpl_m_m[[#This Row],[Zamkniecie]]*1</f>
        <v>9</v>
      </c>
    </row>
    <row r="23" spans="1:3">
      <c r="A23" s="1">
        <v>37437</v>
      </c>
      <c r="B23" s="7">
        <v>8.5</v>
      </c>
      <c r="C23" s="6">
        <f>inrtpl_m_m[[#This Row],[Zamkniecie]]*1</f>
        <v>8.5</v>
      </c>
    </row>
    <row r="24" spans="1:3">
      <c r="A24" s="1">
        <v>37499</v>
      </c>
      <c r="B24" s="7" t="s">
        <v>12</v>
      </c>
      <c r="C24" s="6">
        <f>inrtpl_m_m[[#This Row],[Zamkniecie]]*1</f>
        <v>8</v>
      </c>
    </row>
    <row r="25" spans="1:3">
      <c r="A25" s="1">
        <v>37529</v>
      </c>
      <c r="B25" s="7">
        <v>7.5</v>
      </c>
      <c r="C25" s="6">
        <f>inrtpl_m_m[[#This Row],[Zamkniecie]]*1</f>
        <v>7.5</v>
      </c>
    </row>
    <row r="26" spans="1:3">
      <c r="A26" s="1">
        <v>37560</v>
      </c>
      <c r="B26" s="7" t="s">
        <v>13</v>
      </c>
      <c r="C26" s="6">
        <f>inrtpl_m_m[[#This Row],[Zamkniecie]]*1</f>
        <v>7</v>
      </c>
    </row>
    <row r="27" spans="1:3">
      <c r="A27" s="1">
        <v>37590</v>
      </c>
      <c r="B27" s="7">
        <v>6.75</v>
      </c>
      <c r="C27" s="6">
        <f>inrtpl_m_m[[#This Row],[Zamkniecie]]*1</f>
        <v>6.75</v>
      </c>
    </row>
    <row r="28" spans="1:3">
      <c r="A28" s="1">
        <v>37652</v>
      </c>
      <c r="B28" s="7">
        <v>6.5</v>
      </c>
      <c r="C28" s="6">
        <f>inrtpl_m_m[[#This Row],[Zamkniecie]]*1</f>
        <v>6.5</v>
      </c>
    </row>
    <row r="29" spans="1:3">
      <c r="A29" s="1">
        <v>37680</v>
      </c>
      <c r="B29" s="7">
        <v>6.25</v>
      </c>
      <c r="C29" s="6">
        <f>inrtpl_m_m[[#This Row],[Zamkniecie]]*1</f>
        <v>6.25</v>
      </c>
    </row>
    <row r="30" spans="1:3">
      <c r="A30" s="1">
        <v>37711</v>
      </c>
      <c r="B30" s="7" t="s">
        <v>14</v>
      </c>
      <c r="C30" s="6">
        <f>inrtpl_m_m[[#This Row],[Zamkniecie]]*1</f>
        <v>6</v>
      </c>
    </row>
    <row r="31" spans="1:3">
      <c r="A31" s="1">
        <v>37741</v>
      </c>
      <c r="B31" s="7">
        <v>5.75</v>
      </c>
      <c r="C31" s="6">
        <f>inrtpl_m_m[[#This Row],[Zamkniecie]]*1</f>
        <v>5.75</v>
      </c>
    </row>
    <row r="32" spans="1:3">
      <c r="A32" s="1">
        <v>37772</v>
      </c>
      <c r="B32" s="7">
        <v>5.5</v>
      </c>
      <c r="C32" s="6">
        <f>inrtpl_m_m[[#This Row],[Zamkniecie]]*1</f>
        <v>5.5</v>
      </c>
    </row>
    <row r="33" spans="1:3">
      <c r="A33" s="1">
        <v>37802</v>
      </c>
      <c r="B33" s="7">
        <v>5.25</v>
      </c>
      <c r="C33" s="6">
        <f>inrtpl_m_m[[#This Row],[Zamkniecie]]*1</f>
        <v>5.25</v>
      </c>
    </row>
    <row r="34" spans="1:3">
      <c r="A34" s="1">
        <v>38199</v>
      </c>
      <c r="B34" s="7" t="s">
        <v>14</v>
      </c>
      <c r="C34" s="6">
        <f>inrtpl_m_m[[#This Row],[Zamkniecie]]*1</f>
        <v>6</v>
      </c>
    </row>
    <row r="35" spans="1:3">
      <c r="A35" s="1">
        <v>38230</v>
      </c>
      <c r="B35" s="7">
        <v>6.5</v>
      </c>
      <c r="C35" s="6">
        <f>inrtpl_m_m[[#This Row],[Zamkniecie]]*1</f>
        <v>6.5</v>
      </c>
    </row>
    <row r="36" spans="1:3">
      <c r="A36" s="1">
        <v>38442</v>
      </c>
      <c r="B36" s="7" t="s">
        <v>14</v>
      </c>
      <c r="C36" s="6">
        <f>inrtpl_m_m[[#This Row],[Zamkniecie]]*1</f>
        <v>6</v>
      </c>
    </row>
    <row r="37" spans="1:3">
      <c r="A37" s="1">
        <v>38472</v>
      </c>
      <c r="B37" s="7">
        <v>5.5</v>
      </c>
      <c r="C37" s="6">
        <f>inrtpl_m_m[[#This Row],[Zamkniecie]]*1</f>
        <v>5.5</v>
      </c>
    </row>
    <row r="38" spans="1:3">
      <c r="A38" s="1">
        <v>38533</v>
      </c>
      <c r="B38" s="7" t="s">
        <v>15</v>
      </c>
      <c r="C38" s="6">
        <f>inrtpl_m_m[[#This Row],[Zamkniecie]]*1</f>
        <v>5</v>
      </c>
    </row>
    <row r="39" spans="1:3">
      <c r="A39" s="1">
        <v>38564</v>
      </c>
      <c r="B39" s="7">
        <v>4.75</v>
      </c>
      <c r="C39" s="6">
        <f>inrtpl_m_m[[#This Row],[Zamkniecie]]*1</f>
        <v>4.75</v>
      </c>
    </row>
    <row r="40" spans="1:3">
      <c r="A40" s="1">
        <v>38625</v>
      </c>
      <c r="B40" s="7">
        <v>4.5</v>
      </c>
      <c r="C40" s="6">
        <f>inrtpl_m_m[[#This Row],[Zamkniecie]]*1</f>
        <v>4.5</v>
      </c>
    </row>
    <row r="41" spans="1:3">
      <c r="A41" s="1">
        <v>38776</v>
      </c>
      <c r="B41" s="7">
        <v>4.25</v>
      </c>
      <c r="C41" s="6">
        <f>inrtpl_m_m[[#This Row],[Zamkniecie]]*1</f>
        <v>4.25</v>
      </c>
    </row>
    <row r="42" spans="1:3">
      <c r="A42" s="1">
        <v>38807</v>
      </c>
      <c r="B42" s="7" t="s">
        <v>16</v>
      </c>
      <c r="C42" s="6">
        <f>inrtpl_m_m[[#This Row],[Zamkniecie]]*1</f>
        <v>4</v>
      </c>
    </row>
    <row r="43" spans="1:3">
      <c r="A43" s="1">
        <v>39202</v>
      </c>
      <c r="B43" s="7">
        <v>4.25</v>
      </c>
      <c r="C43" s="6">
        <f>inrtpl_m_m[[#This Row],[Zamkniecie]]*1</f>
        <v>4.25</v>
      </c>
    </row>
    <row r="44" spans="1:3">
      <c r="A44" s="1">
        <v>39263</v>
      </c>
      <c r="B44" s="7">
        <v>4.5</v>
      </c>
      <c r="C44" s="6">
        <f>inrtpl_m_m[[#This Row],[Zamkniecie]]*1</f>
        <v>4.5</v>
      </c>
    </row>
    <row r="45" spans="1:3">
      <c r="A45" s="1">
        <v>39325</v>
      </c>
      <c r="B45" s="7">
        <v>4.75</v>
      </c>
      <c r="C45" s="6">
        <f>inrtpl_m_m[[#This Row],[Zamkniecie]]*1</f>
        <v>4.75</v>
      </c>
    </row>
    <row r="46" spans="1:3">
      <c r="A46" s="1">
        <v>39416</v>
      </c>
      <c r="B46" s="7" t="s">
        <v>15</v>
      </c>
      <c r="C46" s="6">
        <f>inrtpl_m_m[[#This Row],[Zamkniecie]]*1</f>
        <v>5</v>
      </c>
    </row>
    <row r="47" spans="1:3">
      <c r="A47" s="1">
        <v>39478</v>
      </c>
      <c r="B47" s="7">
        <v>5.25</v>
      </c>
      <c r="C47" s="6">
        <f>inrtpl_m_m[[#This Row],[Zamkniecie]]*1</f>
        <v>5.25</v>
      </c>
    </row>
    <row r="48" spans="1:3">
      <c r="A48" s="1">
        <v>39507</v>
      </c>
      <c r="B48" s="7">
        <v>5.5</v>
      </c>
      <c r="C48" s="6">
        <f>inrtpl_m_m[[#This Row],[Zamkniecie]]*1</f>
        <v>5.5</v>
      </c>
    </row>
    <row r="49" spans="1:3">
      <c r="A49" s="1">
        <v>39538</v>
      </c>
      <c r="B49" s="7">
        <v>5.75</v>
      </c>
      <c r="C49" s="6">
        <f>inrtpl_m_m[[#This Row],[Zamkniecie]]*1</f>
        <v>5.75</v>
      </c>
    </row>
    <row r="50" spans="1:3">
      <c r="A50" s="1">
        <v>39629</v>
      </c>
      <c r="B50" s="7" t="s">
        <v>14</v>
      </c>
      <c r="C50" s="6">
        <f>inrtpl_m_m[[#This Row],[Zamkniecie]]*1</f>
        <v>6</v>
      </c>
    </row>
    <row r="51" spans="1:3">
      <c r="A51" s="1">
        <v>39782</v>
      </c>
      <c r="B51" s="7">
        <v>5.75</v>
      </c>
      <c r="C51" s="6">
        <f>inrtpl_m_m[[#This Row],[Zamkniecie]]*1</f>
        <v>5.75</v>
      </c>
    </row>
    <row r="52" spans="1:3">
      <c r="A52" s="1">
        <v>39813</v>
      </c>
      <c r="B52" s="7" t="s">
        <v>15</v>
      </c>
      <c r="C52" s="6">
        <f>inrtpl_m_m[[#This Row],[Zamkniecie]]*1</f>
        <v>5</v>
      </c>
    </row>
    <row r="53" spans="1:3">
      <c r="A53" s="1">
        <v>39844</v>
      </c>
      <c r="B53" s="7">
        <v>4.25</v>
      </c>
      <c r="C53" s="6">
        <f>inrtpl_m_m[[#This Row],[Zamkniecie]]*1</f>
        <v>4.25</v>
      </c>
    </row>
    <row r="54" spans="1:3">
      <c r="A54" s="1">
        <v>39872</v>
      </c>
      <c r="B54" s="7" t="s">
        <v>16</v>
      </c>
      <c r="C54" s="6">
        <f>inrtpl_m_m[[#This Row],[Zamkniecie]]*1</f>
        <v>4</v>
      </c>
    </row>
    <row r="55" spans="1:3">
      <c r="A55" s="1">
        <v>39903</v>
      </c>
      <c r="B55" s="7">
        <v>3.75</v>
      </c>
      <c r="C55" s="6">
        <f>inrtpl_m_m[[#This Row],[Zamkniecie]]*1</f>
        <v>3.75</v>
      </c>
    </row>
    <row r="56" spans="1:3">
      <c r="A56" s="1">
        <v>39994</v>
      </c>
      <c r="B56" s="7">
        <v>3.5</v>
      </c>
      <c r="C56" s="6">
        <f>inrtpl_m_m[[#This Row],[Zamkniecie]]*1</f>
        <v>3.5</v>
      </c>
    </row>
    <row r="57" spans="1:3">
      <c r="A57" s="1">
        <v>40209</v>
      </c>
      <c r="B57" s="7">
        <v>3.5</v>
      </c>
      <c r="C57" s="6">
        <f>inrtpl_m_m[[#This Row],[Zamkniecie]]*1</f>
        <v>3.5</v>
      </c>
    </row>
    <row r="58" spans="1:3">
      <c r="A58" s="1">
        <v>40359</v>
      </c>
      <c r="B58" s="7">
        <v>3.5</v>
      </c>
      <c r="C58" s="6">
        <f>inrtpl_m_m[[#This Row],[Zamkniecie]]*1</f>
        <v>3.5</v>
      </c>
    </row>
    <row r="59" spans="1:3">
      <c r="A59" s="1">
        <v>40421</v>
      </c>
      <c r="B59" s="7">
        <v>3.5</v>
      </c>
      <c r="C59" s="6">
        <f>inrtpl_m_m[[#This Row],[Zamkniecie]]*1</f>
        <v>3.5</v>
      </c>
    </row>
    <row r="60" spans="1:3">
      <c r="A60" s="1">
        <v>40451</v>
      </c>
      <c r="B60" s="7">
        <v>3.5</v>
      </c>
      <c r="C60" s="6">
        <f>inrtpl_m_m[[#This Row],[Zamkniecie]]*1</f>
        <v>3.5</v>
      </c>
    </row>
    <row r="61" spans="1:3">
      <c r="A61" s="1">
        <v>40512</v>
      </c>
      <c r="B61" s="7">
        <v>3.5</v>
      </c>
      <c r="C61" s="6">
        <f>inrtpl_m_m[[#This Row],[Zamkniecie]]*1</f>
        <v>3.5</v>
      </c>
    </row>
    <row r="62" spans="1:3">
      <c r="A62" s="1">
        <v>40543</v>
      </c>
      <c r="B62" s="7">
        <v>3.5</v>
      </c>
      <c r="C62" s="6">
        <f>inrtpl_m_m[[#This Row],[Zamkniecie]]*1</f>
        <v>3.5</v>
      </c>
    </row>
    <row r="63" spans="1:3">
      <c r="A63" s="1">
        <v>40574</v>
      </c>
      <c r="B63" s="7">
        <v>3.75</v>
      </c>
      <c r="C63" s="6">
        <f>inrtpl_m_m[[#This Row],[Zamkniecie]]*1</f>
        <v>3.75</v>
      </c>
    </row>
    <row r="64" spans="1:3">
      <c r="A64" s="1">
        <v>40633</v>
      </c>
      <c r="B64" s="7">
        <v>3.75</v>
      </c>
      <c r="C64" s="6">
        <f>inrtpl_m_m[[#This Row],[Zamkniecie]]*1</f>
        <v>3.75</v>
      </c>
    </row>
    <row r="65" spans="1:3">
      <c r="A65" s="1">
        <v>40663</v>
      </c>
      <c r="B65" s="7" t="s">
        <v>16</v>
      </c>
      <c r="C65" s="6">
        <f>inrtpl_m_m[[#This Row],[Zamkniecie]]*1</f>
        <v>4</v>
      </c>
    </row>
    <row r="66" spans="1:3">
      <c r="A66" s="1">
        <v>40694</v>
      </c>
      <c r="B66" s="7">
        <v>4.25</v>
      </c>
      <c r="C66" s="6">
        <f>inrtpl_m_m[[#This Row],[Zamkniecie]]*1</f>
        <v>4.25</v>
      </c>
    </row>
    <row r="67" spans="1:3">
      <c r="A67" s="1">
        <v>40724</v>
      </c>
      <c r="B67" s="7">
        <v>4.5</v>
      </c>
      <c r="C67" s="6">
        <f>inrtpl_m_m[[#This Row],[Zamkniecie]]*1</f>
        <v>4.5</v>
      </c>
    </row>
    <row r="68" spans="1:3">
      <c r="A68" s="1">
        <v>40755</v>
      </c>
      <c r="B68" s="7">
        <v>4.5</v>
      </c>
      <c r="C68" s="6">
        <f>inrtpl_m_m[[#This Row],[Zamkniecie]]*1</f>
        <v>4.5</v>
      </c>
    </row>
    <row r="69" spans="1:3">
      <c r="A69" s="1">
        <v>40816</v>
      </c>
      <c r="B69" s="7">
        <v>4.5</v>
      </c>
      <c r="C69" s="6">
        <f>inrtpl_m_m[[#This Row],[Zamkniecie]]*1</f>
        <v>4.5</v>
      </c>
    </row>
    <row r="70" spans="1:3">
      <c r="A70" s="1">
        <v>40847</v>
      </c>
      <c r="B70" s="7">
        <v>4.5</v>
      </c>
      <c r="C70" s="6">
        <f>inrtpl_m_m[[#This Row],[Zamkniecie]]*1</f>
        <v>4.5</v>
      </c>
    </row>
    <row r="71" spans="1:3">
      <c r="A71" s="1">
        <v>40877</v>
      </c>
      <c r="B71" s="7">
        <v>4.5</v>
      </c>
      <c r="C71" s="6">
        <f>inrtpl_m_m[[#This Row],[Zamkniecie]]*1</f>
        <v>4.5</v>
      </c>
    </row>
    <row r="72" spans="1:3">
      <c r="A72" s="1">
        <v>40908</v>
      </c>
      <c r="B72" s="7">
        <v>4.5</v>
      </c>
      <c r="C72" s="6">
        <f>inrtpl_m_m[[#This Row],[Zamkniecie]]*1</f>
        <v>4.5</v>
      </c>
    </row>
    <row r="73" spans="1:3">
      <c r="A73" s="1">
        <v>40939</v>
      </c>
      <c r="B73" s="7">
        <v>4.5</v>
      </c>
      <c r="C73" s="6">
        <f>inrtpl_m_m[[#This Row],[Zamkniecie]]*1</f>
        <v>4.5</v>
      </c>
    </row>
    <row r="74" spans="1:3">
      <c r="A74" s="1">
        <v>40968</v>
      </c>
      <c r="B74" s="7">
        <v>4.5</v>
      </c>
      <c r="C74" s="6">
        <f>inrtpl_m_m[[#This Row],[Zamkniecie]]*1</f>
        <v>4.5</v>
      </c>
    </row>
    <row r="75" spans="1:3">
      <c r="A75" s="1">
        <v>40999</v>
      </c>
      <c r="B75" s="7">
        <v>4.5</v>
      </c>
      <c r="C75" s="6">
        <f>inrtpl_m_m[[#This Row],[Zamkniecie]]*1</f>
        <v>4.5</v>
      </c>
    </row>
    <row r="76" spans="1:3">
      <c r="A76" s="1">
        <v>41029</v>
      </c>
      <c r="B76" s="7">
        <v>4.5</v>
      </c>
      <c r="C76" s="6">
        <f>inrtpl_m_m[[#This Row],[Zamkniecie]]*1</f>
        <v>4.5</v>
      </c>
    </row>
    <row r="77" spans="1:3">
      <c r="A77" s="1">
        <v>41060</v>
      </c>
      <c r="B77" s="7">
        <v>4.75</v>
      </c>
      <c r="C77" s="6">
        <f>inrtpl_m_m[[#This Row],[Zamkniecie]]*1</f>
        <v>4.75</v>
      </c>
    </row>
    <row r="78" spans="1:3">
      <c r="A78" s="1">
        <v>41090</v>
      </c>
      <c r="B78" s="7">
        <v>4.75</v>
      </c>
      <c r="C78" s="6">
        <f>inrtpl_m_m[[#This Row],[Zamkniecie]]*1</f>
        <v>4.75</v>
      </c>
    </row>
    <row r="79" spans="1:3">
      <c r="A79" s="1">
        <v>41121</v>
      </c>
      <c r="B79" s="7">
        <v>4.75</v>
      </c>
      <c r="C79" s="6">
        <f>inrtpl_m_m[[#This Row],[Zamkniecie]]*1</f>
        <v>4.75</v>
      </c>
    </row>
    <row r="80" spans="1:3">
      <c r="A80" s="1">
        <v>41182</v>
      </c>
      <c r="B80" s="7">
        <v>4.75</v>
      </c>
      <c r="C80" s="6">
        <f>inrtpl_m_m[[#This Row],[Zamkniecie]]*1</f>
        <v>4.75</v>
      </c>
    </row>
    <row r="81" spans="1:3">
      <c r="A81" s="1">
        <v>41213</v>
      </c>
      <c r="B81" s="7">
        <v>4.75</v>
      </c>
      <c r="C81" s="6">
        <f>inrtpl_m_m[[#This Row],[Zamkniecie]]*1</f>
        <v>4.75</v>
      </c>
    </row>
    <row r="82" spans="1:3">
      <c r="A82" s="1">
        <v>41243</v>
      </c>
      <c r="B82" s="7">
        <v>4.5</v>
      </c>
      <c r="C82" s="6">
        <f>inrtpl_m_m[[#This Row],[Zamkniecie]]*1</f>
        <v>4.5</v>
      </c>
    </row>
    <row r="83" spans="1:3">
      <c r="A83" s="1">
        <v>41274</v>
      </c>
      <c r="B83" s="7">
        <v>4.25</v>
      </c>
      <c r="C83" s="6">
        <f>inrtpl_m_m[[#This Row],[Zamkniecie]]*1</f>
        <v>4.25</v>
      </c>
    </row>
    <row r="84" spans="1:3">
      <c r="A84" s="1">
        <v>41305</v>
      </c>
      <c r="B84" s="7" t="s">
        <v>16</v>
      </c>
      <c r="C84" s="6">
        <f>inrtpl_m_m[[#This Row],[Zamkniecie]]*1</f>
        <v>4</v>
      </c>
    </row>
    <row r="85" spans="1:3">
      <c r="A85" s="1">
        <v>41333</v>
      </c>
      <c r="B85" s="7">
        <v>3.75</v>
      </c>
      <c r="C85" s="6">
        <f>inrtpl_m_m[[#This Row],[Zamkniecie]]*1</f>
        <v>3.75</v>
      </c>
    </row>
    <row r="86" spans="1:3">
      <c r="A86" s="1">
        <v>41364</v>
      </c>
      <c r="B86" s="7">
        <v>3.25</v>
      </c>
      <c r="C86" s="6">
        <f>inrtpl_m_m[[#This Row],[Zamkniecie]]*1</f>
        <v>3.25</v>
      </c>
    </row>
    <row r="87" spans="1:3">
      <c r="A87" s="1">
        <v>41394</v>
      </c>
      <c r="B87" s="7">
        <v>3.25</v>
      </c>
      <c r="C87" s="6">
        <f>inrtpl_m_m[[#This Row],[Zamkniecie]]*1</f>
        <v>3.25</v>
      </c>
    </row>
    <row r="88" spans="1:3">
      <c r="A88" s="1">
        <v>41425</v>
      </c>
      <c r="B88" s="7" t="s">
        <v>2</v>
      </c>
      <c r="C88" s="6">
        <f>inrtpl_m_m[[#This Row],[Zamkniecie]]*1</f>
        <v>3</v>
      </c>
    </row>
    <row r="89" spans="1:3">
      <c r="A89" s="1">
        <v>41455</v>
      </c>
      <c r="B89" s="7">
        <v>2.75</v>
      </c>
      <c r="C89" s="6">
        <f>inrtpl_m_m[[#This Row],[Zamkniecie]]*1</f>
        <v>2.75</v>
      </c>
    </row>
    <row r="90" spans="1:3">
      <c r="A90" s="1">
        <v>41486</v>
      </c>
      <c r="B90" s="7">
        <v>2.5</v>
      </c>
      <c r="C90" s="6">
        <f>inrtpl_m_m[[#This Row],[Zamkniecie]]*1</f>
        <v>2.5</v>
      </c>
    </row>
    <row r="91" spans="1:3">
      <c r="A91" s="1">
        <v>41547</v>
      </c>
      <c r="B91" s="7">
        <v>2.5</v>
      </c>
      <c r="C91" s="6">
        <f>inrtpl_m_m[[#This Row],[Zamkniecie]]*1</f>
        <v>2.5</v>
      </c>
    </row>
    <row r="92" spans="1:3">
      <c r="A92" s="1">
        <v>41578</v>
      </c>
      <c r="B92" s="7">
        <v>2.5</v>
      </c>
      <c r="C92" s="6">
        <f>inrtpl_m_m[[#This Row],[Zamkniecie]]*1</f>
        <v>2.5</v>
      </c>
    </row>
    <row r="93" spans="1:3">
      <c r="A93" s="1">
        <v>41608</v>
      </c>
      <c r="B93" s="7">
        <v>2.5</v>
      </c>
      <c r="C93" s="6">
        <f>inrtpl_m_m[[#This Row],[Zamkniecie]]*1</f>
        <v>2.5</v>
      </c>
    </row>
    <row r="94" spans="1:3">
      <c r="A94" s="1">
        <v>41639</v>
      </c>
      <c r="B94" s="7">
        <v>2.5</v>
      </c>
      <c r="C94" s="6">
        <f>inrtpl_m_m[[#This Row],[Zamkniecie]]*1</f>
        <v>2.5</v>
      </c>
    </row>
    <row r="95" spans="1:3">
      <c r="A95" s="1">
        <v>41670</v>
      </c>
      <c r="B95" s="7">
        <v>2.5</v>
      </c>
      <c r="C95" s="6">
        <f>inrtpl_m_m[[#This Row],[Zamkniecie]]*1</f>
        <v>2.5</v>
      </c>
    </row>
    <row r="96" spans="1:3">
      <c r="A96" s="1">
        <v>41698</v>
      </c>
      <c r="B96" s="7">
        <v>2.5</v>
      </c>
      <c r="C96" s="6">
        <f>inrtpl_m_m[[#This Row],[Zamkniecie]]*1</f>
        <v>2.5</v>
      </c>
    </row>
    <row r="97" spans="1:3">
      <c r="A97" s="1">
        <v>41729</v>
      </c>
      <c r="B97" s="7">
        <v>2.5</v>
      </c>
      <c r="C97" s="6">
        <f>inrtpl_m_m[[#This Row],[Zamkniecie]]*1</f>
        <v>2.5</v>
      </c>
    </row>
    <row r="98" spans="1:3">
      <c r="A98" s="1">
        <v>41759</v>
      </c>
      <c r="B98" s="7">
        <v>2.5</v>
      </c>
      <c r="C98" s="6">
        <f>inrtpl_m_m[[#This Row],[Zamkniecie]]*1</f>
        <v>2.5</v>
      </c>
    </row>
    <row r="99" spans="1:3">
      <c r="A99" s="1">
        <v>41790</v>
      </c>
      <c r="B99" s="7">
        <v>2.5</v>
      </c>
      <c r="C99" s="6">
        <f>inrtpl_m_m[[#This Row],[Zamkniecie]]*1</f>
        <v>2.5</v>
      </c>
    </row>
    <row r="100" spans="1:3">
      <c r="A100" s="1">
        <v>41820</v>
      </c>
      <c r="B100" s="7">
        <v>2.5</v>
      </c>
      <c r="C100" s="6">
        <f>inrtpl_m_m[[#This Row],[Zamkniecie]]*1</f>
        <v>2.5</v>
      </c>
    </row>
    <row r="101" spans="1:3">
      <c r="A101" s="1">
        <v>41851</v>
      </c>
      <c r="B101" s="7">
        <v>2.5</v>
      </c>
      <c r="C101" s="6">
        <f>inrtpl_m_m[[#This Row],[Zamkniecie]]*1</f>
        <v>2.5</v>
      </c>
    </row>
    <row r="102" spans="1:3">
      <c r="A102" s="1">
        <v>41912</v>
      </c>
      <c r="B102" s="7">
        <v>2.5</v>
      </c>
      <c r="C102" s="6">
        <f>inrtpl_m_m[[#This Row],[Zamkniecie]]*1</f>
        <v>2.5</v>
      </c>
    </row>
    <row r="103" spans="1:3">
      <c r="A103" s="1">
        <v>41943</v>
      </c>
      <c r="B103" s="7" t="s">
        <v>17</v>
      </c>
      <c r="C103" s="6">
        <f>inrtpl_m_m[[#This Row],[Zamkniecie]]*1</f>
        <v>2</v>
      </c>
    </row>
    <row r="104" spans="1:3">
      <c r="A104" s="1">
        <v>41973</v>
      </c>
      <c r="B104" s="7" t="s">
        <v>17</v>
      </c>
      <c r="C104" s="6">
        <f>inrtpl_m_m[[#This Row],[Zamkniecie]]*1</f>
        <v>2</v>
      </c>
    </row>
    <row r="105" spans="1:3">
      <c r="A105" s="1">
        <v>42004</v>
      </c>
      <c r="B105" s="7" t="s">
        <v>17</v>
      </c>
      <c r="C105" s="6">
        <f>inrtpl_m_m[[#This Row],[Zamkniecie]]*1</f>
        <v>2</v>
      </c>
    </row>
    <row r="106" spans="1:3">
      <c r="A106" s="1">
        <v>42035</v>
      </c>
      <c r="B106" s="7" t="s">
        <v>17</v>
      </c>
      <c r="C106" s="6">
        <f>inrtpl_m_m[[#This Row],[Zamkniecie]]*1</f>
        <v>2</v>
      </c>
    </row>
    <row r="107" spans="1:3">
      <c r="A107" s="1">
        <v>42063</v>
      </c>
      <c r="B107" s="7" t="s">
        <v>17</v>
      </c>
      <c r="C107" s="6">
        <f>inrtpl_m_m[[#This Row],[Zamkniecie]]*1</f>
        <v>2</v>
      </c>
    </row>
    <row r="108" spans="1:3">
      <c r="A108" s="1">
        <v>42094</v>
      </c>
      <c r="B108" s="7">
        <v>1.5</v>
      </c>
      <c r="C108" s="6">
        <f>inrtpl_m_m[[#This Row],[Zamkniecie]]*1</f>
        <v>1.5</v>
      </c>
    </row>
    <row r="109" spans="1:3">
      <c r="A109" s="1">
        <v>42124</v>
      </c>
      <c r="B109" s="7">
        <v>1.5</v>
      </c>
      <c r="C109" s="6">
        <f>inrtpl_m_m[[#This Row],[Zamkniecie]]*1</f>
        <v>1.5</v>
      </c>
    </row>
    <row r="110" spans="1:3">
      <c r="A110" s="1">
        <v>42155</v>
      </c>
      <c r="B110" s="7">
        <v>1.5</v>
      </c>
      <c r="C110" s="6">
        <f>inrtpl_m_m[[#This Row],[Zamkniecie]]*1</f>
        <v>1.5</v>
      </c>
    </row>
    <row r="111" spans="1:3">
      <c r="A111" s="1">
        <v>42185</v>
      </c>
      <c r="B111" s="7">
        <v>1.5</v>
      </c>
      <c r="C111" s="6">
        <f>inrtpl_m_m[[#This Row],[Zamkniecie]]*1</f>
        <v>1.5</v>
      </c>
    </row>
    <row r="112" spans="1:3">
      <c r="A112" s="1">
        <v>42216</v>
      </c>
      <c r="B112" s="7">
        <v>1.5</v>
      </c>
      <c r="C112" s="6">
        <f>inrtpl_m_m[[#This Row],[Zamkniecie]]*1</f>
        <v>1.5</v>
      </c>
    </row>
    <row r="113" spans="1:3">
      <c r="A113" s="1">
        <v>42277</v>
      </c>
      <c r="B113" s="7">
        <v>1.5</v>
      </c>
      <c r="C113" s="6">
        <f>inrtpl_m_m[[#This Row],[Zamkniecie]]*1</f>
        <v>1.5</v>
      </c>
    </row>
    <row r="114" spans="1:3">
      <c r="A114" s="1">
        <v>42308</v>
      </c>
      <c r="B114" s="7">
        <v>1.5</v>
      </c>
      <c r="C114" s="6">
        <f>inrtpl_m_m[[#This Row],[Zamkniecie]]*1</f>
        <v>1.5</v>
      </c>
    </row>
    <row r="115" spans="1:3">
      <c r="A115" s="1">
        <v>42338</v>
      </c>
      <c r="B115" s="7">
        <v>1.5</v>
      </c>
      <c r="C115" s="6">
        <f>inrtpl_m_m[[#This Row],[Zamkniecie]]*1</f>
        <v>1.5</v>
      </c>
    </row>
    <row r="116" spans="1:3">
      <c r="A116" s="1">
        <v>42369</v>
      </c>
      <c r="B116" s="7">
        <v>1.5</v>
      </c>
      <c r="C116" s="6">
        <f>inrtpl_m_m[[#This Row],[Zamkniecie]]*1</f>
        <v>1.5</v>
      </c>
    </row>
    <row r="117" spans="1:3">
      <c r="A117" s="1">
        <v>42400</v>
      </c>
      <c r="B117" s="7">
        <v>1.5</v>
      </c>
      <c r="C117" s="6">
        <f>inrtpl_m_m[[#This Row],[Zamkniecie]]*1</f>
        <v>1.5</v>
      </c>
    </row>
    <row r="118" spans="1:3">
      <c r="A118" s="1">
        <v>42429</v>
      </c>
      <c r="B118" s="7">
        <v>1.5</v>
      </c>
      <c r="C118" s="6">
        <f>inrtpl_m_m[[#This Row],[Zamkniecie]]*1</f>
        <v>1.5</v>
      </c>
    </row>
    <row r="119" spans="1:3">
      <c r="A119" s="1">
        <v>42460</v>
      </c>
      <c r="B119" s="7">
        <v>1.5</v>
      </c>
      <c r="C119" s="6">
        <f>inrtpl_m_m[[#This Row],[Zamkniecie]]*1</f>
        <v>1.5</v>
      </c>
    </row>
    <row r="120" spans="1:3">
      <c r="A120" s="1">
        <v>42490</v>
      </c>
      <c r="B120" s="7">
        <v>1.5</v>
      </c>
      <c r="C120" s="6">
        <f>inrtpl_m_m[[#This Row],[Zamkniecie]]*1</f>
        <v>1.5</v>
      </c>
    </row>
    <row r="121" spans="1:3">
      <c r="A121" s="1">
        <v>42521</v>
      </c>
      <c r="B121" s="7">
        <v>1.5</v>
      </c>
      <c r="C121" s="6">
        <f>inrtpl_m_m[[#This Row],[Zamkniecie]]*1</f>
        <v>1.5</v>
      </c>
    </row>
    <row r="122" spans="1:3">
      <c r="A122" s="1">
        <v>42551</v>
      </c>
      <c r="B122" s="7">
        <v>1.5</v>
      </c>
      <c r="C122" s="6">
        <f>inrtpl_m_m[[#This Row],[Zamkniecie]]*1</f>
        <v>1.5</v>
      </c>
    </row>
    <row r="123" spans="1:3">
      <c r="A123" s="1">
        <v>42582</v>
      </c>
      <c r="B123" s="7">
        <v>1.5</v>
      </c>
      <c r="C123" s="6">
        <f>inrtpl_m_m[[#This Row],[Zamkniecie]]*1</f>
        <v>1.5</v>
      </c>
    </row>
    <row r="124" spans="1:3">
      <c r="A124" s="1">
        <v>42643</v>
      </c>
      <c r="B124" s="7">
        <v>1.5</v>
      </c>
      <c r="C124" s="6">
        <f>inrtpl_m_m[[#This Row],[Zamkniecie]]*1</f>
        <v>1.5</v>
      </c>
    </row>
    <row r="125" spans="1:3">
      <c r="A125" s="1">
        <v>42674</v>
      </c>
      <c r="B125" s="7">
        <v>1.5</v>
      </c>
      <c r="C125" s="6">
        <f>inrtpl_m_m[[#This Row],[Zamkniecie]]*1</f>
        <v>1.5</v>
      </c>
    </row>
    <row r="126" spans="1:3">
      <c r="A126" s="1">
        <v>42704</v>
      </c>
      <c r="B126" s="7">
        <v>1.5</v>
      </c>
      <c r="C126" s="6">
        <f>inrtpl_m_m[[#This Row],[Zamkniecie]]*1</f>
        <v>1.5</v>
      </c>
    </row>
    <row r="127" spans="1:3">
      <c r="A127" s="1">
        <v>42735</v>
      </c>
      <c r="B127" s="7">
        <v>1.5</v>
      </c>
      <c r="C127" s="6">
        <f>inrtpl_m_m[[#This Row],[Zamkniecie]]*1</f>
        <v>1.5</v>
      </c>
    </row>
    <row r="128" spans="1:3">
      <c r="A128" s="1">
        <v>42766</v>
      </c>
      <c r="B128" s="7">
        <v>1.5</v>
      </c>
      <c r="C128" s="6">
        <f>inrtpl_m_m[[#This Row],[Zamkniecie]]*1</f>
        <v>1.5</v>
      </c>
    </row>
    <row r="129" spans="1:3">
      <c r="A129" s="1">
        <v>42794</v>
      </c>
      <c r="B129" s="7">
        <v>1.5</v>
      </c>
      <c r="C129" s="6">
        <f>inrtpl_m_m[[#This Row],[Zamkniecie]]*1</f>
        <v>1.5</v>
      </c>
    </row>
    <row r="130" spans="1:3">
      <c r="A130" s="1">
        <v>42825</v>
      </c>
      <c r="B130" s="7">
        <v>1.5</v>
      </c>
      <c r="C130" s="6">
        <f>inrtpl_m_m[[#This Row],[Zamkniecie]]*1</f>
        <v>1.5</v>
      </c>
    </row>
    <row r="131" spans="1:3">
      <c r="A131" s="1">
        <v>42855</v>
      </c>
      <c r="B131" s="7">
        <v>1.5</v>
      </c>
      <c r="C131" s="6">
        <f>inrtpl_m_m[[#This Row],[Zamkniecie]]*1</f>
        <v>1.5</v>
      </c>
    </row>
    <row r="132" spans="1:3">
      <c r="A132" s="1">
        <v>42886</v>
      </c>
      <c r="B132" s="7">
        <v>1.5</v>
      </c>
      <c r="C132" s="6">
        <f>inrtpl_m_m[[#This Row],[Zamkniecie]]*1</f>
        <v>1.5</v>
      </c>
    </row>
    <row r="133" spans="1:3">
      <c r="A133" s="1">
        <v>42916</v>
      </c>
      <c r="B133" s="7">
        <v>1.5</v>
      </c>
      <c r="C133" s="6">
        <f>inrtpl_m_m[[#This Row],[Zamkniecie]]*1</f>
        <v>1.5</v>
      </c>
    </row>
    <row r="134" spans="1:3">
      <c r="A134" s="1">
        <v>42947</v>
      </c>
      <c r="B134" s="7">
        <v>1.5</v>
      </c>
      <c r="C134" s="6">
        <f>inrtpl_m_m[[#This Row],[Zamkniecie]]*1</f>
        <v>1.5</v>
      </c>
    </row>
    <row r="135" spans="1:3">
      <c r="A135" s="1">
        <v>43008</v>
      </c>
      <c r="B135" s="7">
        <v>1.5</v>
      </c>
      <c r="C135" s="6">
        <f>inrtpl_m_m[[#This Row],[Zamkniecie]]*1</f>
        <v>1.5</v>
      </c>
    </row>
    <row r="136" spans="1:3">
      <c r="A136" s="1">
        <v>43039</v>
      </c>
      <c r="B136" s="7">
        <v>1.5</v>
      </c>
      <c r="C136" s="6">
        <f>inrtpl_m_m[[#This Row],[Zamkniecie]]*1</f>
        <v>1.5</v>
      </c>
    </row>
    <row r="137" spans="1:3">
      <c r="A137" s="1">
        <v>43069</v>
      </c>
      <c r="B137" s="7">
        <v>1.5</v>
      </c>
      <c r="C137" s="6">
        <f>inrtpl_m_m[[#This Row],[Zamkniecie]]*1</f>
        <v>1.5</v>
      </c>
    </row>
    <row r="138" spans="1:3">
      <c r="A138" s="1">
        <v>43100</v>
      </c>
      <c r="B138" s="7">
        <v>1.5</v>
      </c>
      <c r="C138" s="6">
        <f>inrtpl_m_m[[#This Row],[Zamkniecie]]*1</f>
        <v>1.5</v>
      </c>
    </row>
    <row r="139" spans="1:3">
      <c r="A139" s="1">
        <v>43131</v>
      </c>
      <c r="B139" s="7">
        <v>1.5</v>
      </c>
      <c r="C139" s="6">
        <f>inrtpl_m_m[[#This Row],[Zamkniecie]]*1</f>
        <v>1.5</v>
      </c>
    </row>
    <row r="140" spans="1:3">
      <c r="A140" s="1">
        <v>43159</v>
      </c>
      <c r="B140" s="7">
        <v>1.5</v>
      </c>
      <c r="C140" s="6">
        <f>inrtpl_m_m[[#This Row],[Zamkniecie]]*1</f>
        <v>1.5</v>
      </c>
    </row>
    <row r="141" spans="1:3">
      <c r="A141" s="1">
        <v>43190</v>
      </c>
      <c r="B141" s="7">
        <v>1.5</v>
      </c>
      <c r="C141" s="6">
        <f>inrtpl_m_m[[#This Row],[Zamkniecie]]*1</f>
        <v>1.5</v>
      </c>
    </row>
    <row r="142" spans="1:3">
      <c r="A142" s="1">
        <v>43220</v>
      </c>
      <c r="B142" s="7">
        <v>1.5</v>
      </c>
      <c r="C142" s="6">
        <f>inrtpl_m_m[[#This Row],[Zamkniecie]]*1</f>
        <v>1.5</v>
      </c>
    </row>
    <row r="143" spans="1:3">
      <c r="A143" s="1">
        <v>43251</v>
      </c>
      <c r="B143" s="7">
        <v>1.5</v>
      </c>
      <c r="C143" s="6">
        <f>inrtpl_m_m[[#This Row],[Zamkniecie]]*1</f>
        <v>1.5</v>
      </c>
    </row>
    <row r="144" spans="1:3">
      <c r="A144" s="1">
        <v>43281</v>
      </c>
      <c r="B144" s="7">
        <v>1.5</v>
      </c>
      <c r="C144" s="6">
        <f>inrtpl_m_m[[#This Row],[Zamkniecie]]*1</f>
        <v>1.5</v>
      </c>
    </row>
    <row r="145" spans="1:3">
      <c r="A145" s="1">
        <v>43312</v>
      </c>
      <c r="B145" s="7">
        <v>1.5</v>
      </c>
      <c r="C145" s="6">
        <f>inrtpl_m_m[[#This Row],[Zamkniecie]]*1</f>
        <v>1.5</v>
      </c>
    </row>
    <row r="146" spans="1:3">
      <c r="A146" s="1">
        <v>43373</v>
      </c>
      <c r="B146" s="7">
        <v>1.5</v>
      </c>
      <c r="C146" s="6">
        <f>inrtpl_m_m[[#This Row],[Zamkniecie]]*1</f>
        <v>1.5</v>
      </c>
    </row>
    <row r="147" spans="1:3">
      <c r="A147" s="1">
        <v>43404</v>
      </c>
      <c r="B147" s="7">
        <v>1.5</v>
      </c>
      <c r="C147" s="6">
        <f>inrtpl_m_m[[#This Row],[Zamkniecie]]*1</f>
        <v>1.5</v>
      </c>
    </row>
    <row r="148" spans="1:3">
      <c r="A148" s="1">
        <v>43434</v>
      </c>
      <c r="B148" s="7">
        <v>1.5</v>
      </c>
      <c r="C148" s="6">
        <f>inrtpl_m_m[[#This Row],[Zamkniecie]]*1</f>
        <v>1.5</v>
      </c>
    </row>
    <row r="149" spans="1:3">
      <c r="A149" s="1">
        <v>43465</v>
      </c>
      <c r="B149" s="7">
        <v>1.5</v>
      </c>
      <c r="C149" s="6">
        <f>inrtpl_m_m[[#This Row],[Zamkniecie]]*1</f>
        <v>1.5</v>
      </c>
    </row>
    <row r="150" spans="1:3">
      <c r="A150" s="1">
        <v>43496</v>
      </c>
      <c r="B150" s="7">
        <v>1.5</v>
      </c>
      <c r="C150" s="6">
        <f>inrtpl_m_m[[#This Row],[Zamkniecie]]*1</f>
        <v>1.5</v>
      </c>
    </row>
    <row r="151" spans="1:3">
      <c r="A151" s="1">
        <v>43524</v>
      </c>
      <c r="B151" s="7">
        <v>1.5</v>
      </c>
      <c r="C151" s="6">
        <f>inrtpl_m_m[[#This Row],[Zamkniecie]]*1</f>
        <v>1.5</v>
      </c>
    </row>
    <row r="152" spans="1:3">
      <c r="A152" s="1">
        <v>43555</v>
      </c>
      <c r="B152" s="7">
        <v>1.5</v>
      </c>
      <c r="C152" s="6">
        <f>inrtpl_m_m[[#This Row],[Zamkniecie]]*1</f>
        <v>1.5</v>
      </c>
    </row>
    <row r="153" spans="1:3">
      <c r="A153" s="1">
        <v>43585</v>
      </c>
      <c r="B153" s="7">
        <v>1.5</v>
      </c>
      <c r="C153" s="6">
        <f>inrtpl_m_m[[#This Row],[Zamkniecie]]*1</f>
        <v>1.5</v>
      </c>
    </row>
    <row r="154" spans="1:3">
      <c r="A154" s="1">
        <v>43616</v>
      </c>
      <c r="B154" s="7">
        <v>1.5</v>
      </c>
      <c r="C154" s="6">
        <f>inrtpl_m_m[[#This Row],[Zamkniecie]]*1</f>
        <v>1.5</v>
      </c>
    </row>
    <row r="155" spans="1:3">
      <c r="A155" s="1">
        <v>43646</v>
      </c>
      <c r="B155" s="7">
        <v>1.5</v>
      </c>
      <c r="C155" s="6">
        <f>inrtpl_m_m[[#This Row],[Zamkniecie]]*1</f>
        <v>1.5</v>
      </c>
    </row>
    <row r="156" spans="1:3">
      <c r="A156" s="1">
        <v>43677</v>
      </c>
      <c r="B156" s="7">
        <v>1.5</v>
      </c>
      <c r="C156" s="6">
        <f>inrtpl_m_m[[#This Row],[Zamkniecie]]*1</f>
        <v>1.5</v>
      </c>
    </row>
    <row r="157" spans="1:3">
      <c r="A157" s="1">
        <v>43738</v>
      </c>
      <c r="B157" s="7">
        <v>1.5</v>
      </c>
      <c r="C157" s="6">
        <f>inrtpl_m_m[[#This Row],[Zamkniecie]]*1</f>
        <v>1.5</v>
      </c>
    </row>
    <row r="158" spans="1:3">
      <c r="A158" s="1">
        <v>43769</v>
      </c>
      <c r="B158" s="7">
        <v>1.5</v>
      </c>
      <c r="C158" s="6">
        <f>inrtpl_m_m[[#This Row],[Zamkniecie]]*1</f>
        <v>1.5</v>
      </c>
    </row>
    <row r="159" spans="1:3">
      <c r="A159" s="1">
        <v>43799</v>
      </c>
      <c r="B159" s="7">
        <v>1.5</v>
      </c>
      <c r="C159" s="6">
        <f>inrtpl_m_m[[#This Row],[Zamkniecie]]*1</f>
        <v>1.5</v>
      </c>
    </row>
    <row r="160" spans="1:3">
      <c r="A160" s="1">
        <v>43830</v>
      </c>
      <c r="B160" s="7">
        <v>1.5</v>
      </c>
      <c r="C160" s="6">
        <f>inrtpl_m_m[[#This Row],[Zamkniecie]]*1</f>
        <v>1.5</v>
      </c>
    </row>
    <row r="161" spans="1:3">
      <c r="A161" s="1">
        <v>43861</v>
      </c>
      <c r="B161" s="7">
        <v>1.5</v>
      </c>
      <c r="C161" s="6">
        <f>inrtpl_m_m[[#This Row],[Zamkniecie]]*1</f>
        <v>1.5</v>
      </c>
    </row>
    <row r="162" spans="1:3">
      <c r="A162" s="1">
        <v>43890</v>
      </c>
      <c r="B162" s="7">
        <v>1.5</v>
      </c>
      <c r="C162" s="6">
        <f>inrtpl_m_m[[#This Row],[Zamkniecie]]*1</f>
        <v>1.5</v>
      </c>
    </row>
    <row r="163" spans="1:3">
      <c r="A163" s="1">
        <v>43921</v>
      </c>
      <c r="B163" s="7" t="s">
        <v>18</v>
      </c>
      <c r="C163" s="6">
        <f>inrtpl_m_m[[#This Row],[Zamkniecie]]*1</f>
        <v>1</v>
      </c>
    </row>
    <row r="164" spans="1:3">
      <c r="A164" s="1">
        <v>43951</v>
      </c>
      <c r="B164" s="7">
        <v>0.5</v>
      </c>
      <c r="C164" s="6">
        <f>inrtpl_m_m[[#This Row],[Zamkniecie]]*1</f>
        <v>0.5</v>
      </c>
    </row>
    <row r="165" spans="1:3">
      <c r="A165" s="1">
        <v>43982</v>
      </c>
      <c r="B165" s="7">
        <v>0.1</v>
      </c>
      <c r="C165" s="6">
        <f>inrtpl_m_m[[#This Row],[Zamkniecie]]*1</f>
        <v>0.1</v>
      </c>
    </row>
    <row r="166" spans="1:3">
      <c r="A166" s="1">
        <v>44012</v>
      </c>
      <c r="B166" s="7">
        <v>0.1</v>
      </c>
      <c r="C166" s="6">
        <f>inrtpl_m_m[[#This Row],[Zamkniecie]]*1</f>
        <v>0.1</v>
      </c>
    </row>
    <row r="167" spans="1:3">
      <c r="A167" s="1">
        <v>44043</v>
      </c>
      <c r="B167" s="7">
        <v>0.5</v>
      </c>
      <c r="C167" s="6">
        <f>inrtpl_m_m[[#This Row],[Zamkniecie]]*1</f>
        <v>0.5</v>
      </c>
    </row>
    <row r="168" spans="1:3">
      <c r="A168" s="1">
        <v>44104</v>
      </c>
      <c r="B168" s="7">
        <v>0.5</v>
      </c>
      <c r="C168" s="6">
        <f>inrtpl_m_m[[#This Row],[Zamkniecie]]*1</f>
        <v>0.5</v>
      </c>
    </row>
    <row r="169" spans="1:3">
      <c r="A169" s="1">
        <v>44135</v>
      </c>
      <c r="B169" s="7">
        <v>0.5</v>
      </c>
      <c r="C169" s="6">
        <f>inrtpl_m_m[[#This Row],[Zamkniecie]]*1</f>
        <v>0.5</v>
      </c>
    </row>
    <row r="170" spans="1:3">
      <c r="A170" s="1">
        <v>44165</v>
      </c>
      <c r="B170" s="7">
        <v>0.5</v>
      </c>
      <c r="C170" s="6">
        <f>inrtpl_m_m[[#This Row],[Zamkniecie]]*1</f>
        <v>0.5</v>
      </c>
    </row>
    <row r="171" spans="1:3">
      <c r="A171" s="1">
        <v>44196</v>
      </c>
      <c r="B171" s="7" t="s">
        <v>18</v>
      </c>
      <c r="C171" s="6">
        <f>inrtpl_m_m[[#This Row],[Zamkniecie]]*1</f>
        <v>1</v>
      </c>
    </row>
    <row r="172" spans="1:3">
      <c r="A172" s="1">
        <v>44227</v>
      </c>
      <c r="B172" s="7">
        <v>0.1</v>
      </c>
      <c r="C172" s="6">
        <f>inrtpl_m_m[[#This Row],[Zamkniecie]]*1</f>
        <v>0.1</v>
      </c>
    </row>
    <row r="173" spans="1:3">
      <c r="A173" s="1">
        <v>44255</v>
      </c>
      <c r="B173" s="7">
        <v>0.1</v>
      </c>
      <c r="C173" s="6">
        <f>inrtpl_m_m[[#This Row],[Zamkniecie]]*1</f>
        <v>0.1</v>
      </c>
    </row>
    <row r="174" spans="1:3">
      <c r="A174" s="1">
        <v>44286</v>
      </c>
      <c r="B174" s="7">
        <v>0.1</v>
      </c>
      <c r="C174" s="6">
        <f>inrtpl_m_m[[#This Row],[Zamkniecie]]*1</f>
        <v>0.1</v>
      </c>
    </row>
    <row r="175" spans="1:3">
      <c r="A175" s="1">
        <v>44316</v>
      </c>
      <c r="B175" s="7">
        <v>0.1</v>
      </c>
      <c r="C175" s="6">
        <f>inrtpl_m_m[[#This Row],[Zamkniecie]]*1</f>
        <v>0.1</v>
      </c>
    </row>
    <row r="176" spans="1:3">
      <c r="A176" s="1">
        <v>44347</v>
      </c>
      <c r="B176" s="7">
        <v>0.1</v>
      </c>
      <c r="C176" s="6">
        <f>inrtpl_m_m[[#This Row],[Zamkniecie]]*1</f>
        <v>0.1</v>
      </c>
    </row>
    <row r="177" spans="1:3">
      <c r="A177" s="1">
        <v>44377</v>
      </c>
      <c r="B177" s="7">
        <v>0.1</v>
      </c>
      <c r="C177" s="6">
        <f>inrtpl_m_m[[#This Row],[Zamkniecie]]*1</f>
        <v>0.1</v>
      </c>
    </row>
    <row r="178" spans="1:3">
      <c r="A178" s="1">
        <v>44408</v>
      </c>
      <c r="B178" s="7">
        <v>0.1</v>
      </c>
      <c r="C178" s="6">
        <f>inrtpl_m_m[[#This Row],[Zamkniecie]]*1</f>
        <v>0.1</v>
      </c>
    </row>
    <row r="179" spans="1:3">
      <c r="A179" s="1">
        <v>44469</v>
      </c>
      <c r="B179" s="7">
        <v>0.1</v>
      </c>
      <c r="C179" s="6">
        <f>inrtpl_m_m[[#This Row],[Zamkniecie]]*1</f>
        <v>0.1</v>
      </c>
    </row>
    <row r="180" spans="1:3">
      <c r="A180" s="1">
        <v>44500</v>
      </c>
      <c r="B180" s="7">
        <v>0.5</v>
      </c>
      <c r="C180" s="6">
        <f>inrtpl_m_m[[#This Row],[Zamkniecie]]*1</f>
        <v>0.5</v>
      </c>
    </row>
    <row r="181" spans="1:3">
      <c r="A181" s="1">
        <v>44530</v>
      </c>
      <c r="B181" s="7">
        <v>1.25</v>
      </c>
      <c r="C181" s="6">
        <f>inrtpl_m_m[[#This Row],[Zamkniecie]]*1</f>
        <v>1.25</v>
      </c>
    </row>
    <row r="182" spans="1:3">
      <c r="A182" s="1">
        <v>44561</v>
      </c>
      <c r="B182" s="7">
        <v>1.75</v>
      </c>
      <c r="C182" s="6">
        <f>inrtpl_m_m[[#This Row],[Zamkniecie]]*1</f>
        <v>1.75</v>
      </c>
    </row>
    <row r="183" spans="1:3">
      <c r="A183" s="1">
        <v>44592</v>
      </c>
      <c r="B183" s="7">
        <v>2.25</v>
      </c>
      <c r="C183" s="6">
        <f>inrtpl_m_m[[#This Row],[Zamkniecie]]*1</f>
        <v>2.25</v>
      </c>
    </row>
    <row r="184" spans="1:3">
      <c r="A184" s="1">
        <v>44620</v>
      </c>
      <c r="B184" s="7">
        <v>2.75</v>
      </c>
      <c r="C184" s="6">
        <f>inrtpl_m_m[[#This Row],[Zamkniecie]]*1</f>
        <v>2.75</v>
      </c>
    </row>
    <row r="185" spans="1:3">
      <c r="A185" s="1">
        <v>44651</v>
      </c>
      <c r="B185" s="7">
        <v>3.5</v>
      </c>
      <c r="C185" s="6">
        <f>inrtpl_m_m[[#This Row],[Zamkniecie]]*1</f>
        <v>3.5</v>
      </c>
    </row>
    <row r="186" spans="1:3">
      <c r="A186" s="1">
        <v>44681</v>
      </c>
      <c r="B186" s="7">
        <v>4.5</v>
      </c>
      <c r="C186" s="6">
        <f>inrtpl_m_m[[#This Row],[Zamkniecie]]*1</f>
        <v>4.5</v>
      </c>
    </row>
    <row r="187" spans="1:3">
      <c r="A187" s="1">
        <v>44712</v>
      </c>
      <c r="B187" s="7">
        <v>5.25</v>
      </c>
      <c r="C187" s="6">
        <f>inrtpl_m_m[[#This Row],[Zamkniecie]]*1</f>
        <v>5.25</v>
      </c>
    </row>
    <row r="188" spans="1:3">
      <c r="A188" s="1">
        <v>44742</v>
      </c>
      <c r="B188" s="7" t="s">
        <v>14</v>
      </c>
      <c r="C188" s="6">
        <f>inrtpl_m_m[[#This Row],[Zamkniecie]]*1</f>
        <v>6</v>
      </c>
    </row>
    <row r="189" spans="1:3">
      <c r="A189" s="1">
        <v>44773</v>
      </c>
      <c r="B189" s="7">
        <v>6.5</v>
      </c>
      <c r="C189" s="6">
        <f>inrtpl_m_m[[#This Row],[Zamkniecie]]*1</f>
        <v>6.5</v>
      </c>
    </row>
    <row r="190" spans="1:3">
      <c r="A190" s="1">
        <v>44834</v>
      </c>
      <c r="B190" s="7">
        <v>6.75</v>
      </c>
      <c r="C190" s="6">
        <f>inrtpl_m_m[[#This Row],[Zamkniecie]]*1</f>
        <v>6.75</v>
      </c>
    </row>
    <row r="191" spans="1:3">
      <c r="A191" s="1">
        <v>44865</v>
      </c>
      <c r="B191" s="7">
        <v>6.75</v>
      </c>
      <c r="C191" s="6">
        <f>inrtpl_m_m[[#This Row],[Zamkniecie]]*1</f>
        <v>6.75</v>
      </c>
    </row>
    <row r="192" spans="1:3">
      <c r="A192" s="1">
        <v>44895</v>
      </c>
      <c r="B192" s="7">
        <v>6.75</v>
      </c>
      <c r="C192" s="6">
        <f>inrtpl_m_m[[#This Row],[Zamkniecie]]*1</f>
        <v>6.75</v>
      </c>
    </row>
    <row r="193" spans="1:3">
      <c r="A193" s="1">
        <v>44926</v>
      </c>
      <c r="B193" s="7">
        <v>6.75</v>
      </c>
      <c r="C193" s="6">
        <f>inrtpl_m_m[[#This Row],[Zamkniecie]]*1</f>
        <v>6.75</v>
      </c>
    </row>
    <row r="194" spans="1:3">
      <c r="A194" s="1">
        <v>44957</v>
      </c>
      <c r="B194" s="7">
        <v>6.75</v>
      </c>
      <c r="C194" s="6">
        <f>inrtpl_m_m[[#This Row],[Zamkniecie]]*1</f>
        <v>6.75</v>
      </c>
    </row>
    <row r="195" spans="1:3">
      <c r="A195" s="1">
        <v>44985</v>
      </c>
      <c r="B195" s="7">
        <v>6.75</v>
      </c>
      <c r="C195" s="6">
        <f>inrtpl_m_m[[#This Row],[Zamkniecie]]*1</f>
        <v>6.75</v>
      </c>
    </row>
    <row r="196" spans="1:3">
      <c r="A196" s="1">
        <v>45016</v>
      </c>
      <c r="B196" s="7">
        <v>6.75</v>
      </c>
      <c r="C196" s="6">
        <f>inrtpl_m_m[[#This Row],[Zamkniecie]]*1</f>
        <v>6.75</v>
      </c>
    </row>
    <row r="197" spans="1:3">
      <c r="A197" s="1">
        <v>45046</v>
      </c>
      <c r="B197" s="7">
        <v>6.75</v>
      </c>
      <c r="C197" s="6">
        <f>inrtpl_m_m[[#This Row],[Zamkniecie]]*1</f>
        <v>6.75</v>
      </c>
    </row>
    <row r="198" spans="1:3">
      <c r="A198" s="1">
        <v>45077</v>
      </c>
      <c r="B198" s="7">
        <v>6.75</v>
      </c>
      <c r="C198" s="6">
        <f>inrtpl_m_m[[#This Row],[Zamkniecie]]*1</f>
        <v>6.75</v>
      </c>
    </row>
    <row r="199" spans="1:3">
      <c r="A199" s="1">
        <v>45107</v>
      </c>
      <c r="B199" s="7">
        <v>6.75</v>
      </c>
      <c r="C199" s="6">
        <f>inrtpl_m_m[[#This Row],[Zamkniecie]]*1</f>
        <v>6.75</v>
      </c>
    </row>
    <row r="200" spans="1:3">
      <c r="A200" s="1">
        <v>45138</v>
      </c>
      <c r="B200" s="7">
        <v>6.75</v>
      </c>
      <c r="C200" s="6">
        <f>inrtpl_m_m[[#This Row],[Zamkniecie]]*1</f>
        <v>6.75</v>
      </c>
    </row>
    <row r="201" spans="1:3">
      <c r="A201" s="1">
        <v>45199</v>
      </c>
      <c r="B201" s="7" t="s">
        <v>14</v>
      </c>
      <c r="C201" s="6">
        <f>inrtpl_m_m[[#This Row],[Zamkniecie]]*1</f>
        <v>6</v>
      </c>
    </row>
    <row r="202" spans="1:3">
      <c r="A202" s="1">
        <v>45230</v>
      </c>
      <c r="B202" s="7">
        <v>5.75</v>
      </c>
      <c r="C202" s="6">
        <f>inrtpl_m_m[[#This Row],[Zamkniecie]]*1</f>
        <v>5.75</v>
      </c>
    </row>
    <row r="203" spans="1:3">
      <c r="A203" s="1">
        <v>45260</v>
      </c>
      <c r="B203" s="7">
        <v>5.75</v>
      </c>
      <c r="C203" s="6">
        <f>inrtpl_m_m[[#This Row],[Zamkniecie]]*1</f>
        <v>5.75</v>
      </c>
    </row>
    <row r="204" spans="1:3">
      <c r="A204" s="1">
        <v>45291</v>
      </c>
      <c r="B204" s="7">
        <v>5.75</v>
      </c>
      <c r="C204" s="6">
        <f>inrtpl_m_m[[#This Row],[Zamkniecie]]*1</f>
        <v>5.75</v>
      </c>
    </row>
    <row r="205" spans="1:3">
      <c r="A205" s="1">
        <v>45351</v>
      </c>
      <c r="B205" s="7">
        <v>5.75</v>
      </c>
      <c r="C205" s="6">
        <f>inrtpl_m_m[[#This Row],[Zamkniecie]]*1</f>
        <v>5.75</v>
      </c>
    </row>
    <row r="206" spans="1:3">
      <c r="A206" s="1">
        <v>45412</v>
      </c>
      <c r="B206" s="7">
        <v>5.75</v>
      </c>
      <c r="C206" s="6">
        <f>inrtpl_m_m[[#This Row],[Zamkniecie]]*1</f>
        <v>5.75</v>
      </c>
    </row>
    <row r="207" spans="1:3">
      <c r="A207" s="1">
        <v>45443</v>
      </c>
      <c r="B207" s="7">
        <v>5.75</v>
      </c>
      <c r="C207" s="6">
        <f>inrtpl_m_m[[#This Row],[Zamkniecie]]*1</f>
        <v>5.75</v>
      </c>
    </row>
    <row r="208" spans="1:3">
      <c r="A208" s="1">
        <v>45565</v>
      </c>
      <c r="B208" s="7">
        <v>5.75</v>
      </c>
      <c r="C208" s="6">
        <f>inrtpl_m_m[[#This Row],[Zamkniecie]]*1</f>
        <v>5.75</v>
      </c>
    </row>
    <row r="209" spans="1:3">
      <c r="A209" s="1">
        <v>45596</v>
      </c>
      <c r="B209" s="7">
        <v>5.75</v>
      </c>
      <c r="C209" s="6">
        <f>inrtpl_m_m[[#This Row],[Zamkniecie]]*1</f>
        <v>5.75</v>
      </c>
    </row>
    <row r="210" spans="1:3">
      <c r="A210" s="1">
        <v>45626</v>
      </c>
      <c r="B210" s="7">
        <v>5.75</v>
      </c>
      <c r="C210" s="6">
        <f>inrtpl_m_m[[#This Row],[Zamkniecie]]*1</f>
        <v>5.75</v>
      </c>
    </row>
    <row r="211" spans="1:3">
      <c r="A211" s="1">
        <v>45657</v>
      </c>
      <c r="B211" s="7">
        <v>5.75</v>
      </c>
      <c r="C211" s="6">
        <f>inrtpl_m_m[[#This Row],[Zamkniecie]]*1</f>
        <v>5.75</v>
      </c>
    </row>
    <row r="212" spans="1:3">
      <c r="A212" s="1">
        <v>45688</v>
      </c>
      <c r="B212" s="7">
        <v>5.75</v>
      </c>
      <c r="C212" s="6">
        <f>inrtpl_m_m[[#This Row],[Zamkniecie]]*1</f>
        <v>5.75</v>
      </c>
    </row>
    <row r="213" spans="1:3">
      <c r="A213" s="1">
        <v>45716</v>
      </c>
      <c r="B213" s="7">
        <v>5.75</v>
      </c>
      <c r="C213" s="6">
        <f>inrtpl_m_m[[#This Row],[Zamkniecie]]*1</f>
        <v>5.75</v>
      </c>
    </row>
    <row r="214" spans="1:3">
      <c r="A214" s="1">
        <v>45747</v>
      </c>
      <c r="B214" s="7">
        <v>5.75</v>
      </c>
      <c r="C214" s="6">
        <f>inrtpl_m_m[[#This Row],[Zamkniecie]]*1</f>
        <v>5.75</v>
      </c>
    </row>
    <row r="215" spans="1:3">
      <c r="A215" s="1">
        <v>45777</v>
      </c>
      <c r="B215" s="7">
        <v>5.75</v>
      </c>
      <c r="C215" s="6">
        <f>inrtpl_m_m[[#This Row],[Zamkniecie]]*1</f>
        <v>5.75</v>
      </c>
    </row>
    <row r="216" spans="1:3">
      <c r="A216" s="1">
        <v>45808</v>
      </c>
      <c r="B216" s="7">
        <v>5.25</v>
      </c>
      <c r="C216" s="6">
        <f>inrtpl_m_m[[#This Row],[Zamkniecie]]*1</f>
        <v>5.25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9193C-C60E-4029-AC6F-6982A5DF6981}">
  <dimension ref="A1:B341"/>
  <sheetViews>
    <sheetView workbookViewId="0">
      <selection activeCell="B99" sqref="B99:B341"/>
    </sheetView>
  </sheetViews>
  <sheetFormatPr defaultRowHeight="15"/>
  <cols>
    <col min="1" max="1" width="10.140625" bestFit="1" customWidth="1"/>
    <col min="2" max="2" width="11.42578125" bestFit="1" customWidth="1"/>
  </cols>
  <sheetData>
    <row r="1" spans="1:2">
      <c r="A1" t="s">
        <v>0</v>
      </c>
      <c r="B1" t="s">
        <v>627</v>
      </c>
    </row>
    <row r="2" spans="1:2">
      <c r="A2" s="3">
        <v>35430</v>
      </c>
      <c r="B2" s="12">
        <v>140038.726</v>
      </c>
    </row>
    <row r="3" spans="1:2">
      <c r="A3" s="2">
        <v>35461</v>
      </c>
      <c r="B3" s="13">
        <v>138755.527</v>
      </c>
    </row>
    <row r="4" spans="1:2">
      <c r="A4" s="3">
        <v>35489</v>
      </c>
      <c r="B4" s="12">
        <v>141142.52799999999</v>
      </c>
    </row>
    <row r="5" spans="1:2">
      <c r="A5" s="2">
        <v>35520</v>
      </c>
      <c r="B5" s="13">
        <v>144080.76699999999</v>
      </c>
    </row>
    <row r="6" spans="1:2">
      <c r="A6" s="3">
        <v>35550</v>
      </c>
      <c r="B6" s="12">
        <v>147471.79199999999</v>
      </c>
    </row>
    <row r="7" spans="1:2">
      <c r="A7" s="2">
        <v>35581</v>
      </c>
      <c r="B7" s="13">
        <v>151110.56099999999</v>
      </c>
    </row>
    <row r="8" spans="1:2">
      <c r="A8" s="3">
        <v>35611</v>
      </c>
      <c r="B8" s="12">
        <v>154073.60699999999</v>
      </c>
    </row>
    <row r="9" spans="1:2">
      <c r="A9" s="2">
        <v>35642</v>
      </c>
      <c r="B9" s="13">
        <v>160056.307</v>
      </c>
    </row>
    <row r="10" spans="1:2">
      <c r="A10" s="3">
        <v>35673</v>
      </c>
      <c r="B10" s="12">
        <v>162082.22099999999</v>
      </c>
    </row>
    <row r="11" spans="1:2">
      <c r="A11" s="2">
        <v>35703</v>
      </c>
      <c r="B11" s="13">
        <v>164710.22899999999</v>
      </c>
    </row>
    <row r="12" spans="1:2">
      <c r="A12" s="3">
        <v>35734</v>
      </c>
      <c r="B12" s="12">
        <v>169848.84700000001</v>
      </c>
    </row>
    <row r="13" spans="1:2">
      <c r="A13" s="2">
        <v>35764</v>
      </c>
      <c r="B13" s="13">
        <v>173093.79399999999</v>
      </c>
    </row>
    <row r="14" spans="1:2">
      <c r="A14" s="3">
        <v>35795</v>
      </c>
      <c r="B14" s="12">
        <v>179378.106</v>
      </c>
    </row>
    <row r="15" spans="1:2">
      <c r="A15" s="2">
        <v>35826</v>
      </c>
      <c r="B15" s="13">
        <v>177942.57800000001</v>
      </c>
    </row>
    <row r="16" spans="1:2">
      <c r="A16" s="3">
        <v>35854</v>
      </c>
      <c r="B16" s="12">
        <v>180545.239</v>
      </c>
    </row>
    <row r="17" spans="1:2">
      <c r="A17" s="2">
        <v>35885</v>
      </c>
      <c r="B17" s="13">
        <v>182904.34099999999</v>
      </c>
    </row>
    <row r="18" spans="1:2">
      <c r="A18" s="3">
        <v>35915</v>
      </c>
      <c r="B18" s="12">
        <v>185780.88200000001</v>
      </c>
    </row>
    <row r="19" spans="1:2">
      <c r="A19" s="2">
        <v>35946</v>
      </c>
      <c r="B19" s="13">
        <v>190926.76300000001</v>
      </c>
    </row>
    <row r="20" spans="1:2">
      <c r="A20" s="3">
        <v>35976</v>
      </c>
      <c r="B20" s="12">
        <v>195272.47200000001</v>
      </c>
    </row>
    <row r="21" spans="1:2">
      <c r="A21" s="2">
        <v>36007</v>
      </c>
      <c r="B21" s="13">
        <v>199468.24900000001</v>
      </c>
    </row>
    <row r="22" spans="1:2">
      <c r="A22" s="3">
        <v>36038</v>
      </c>
      <c r="B22" s="12">
        <v>204921.48699999999</v>
      </c>
    </row>
    <row r="23" spans="1:2">
      <c r="A23" s="2">
        <v>36068</v>
      </c>
      <c r="B23" s="13">
        <v>206446.63500000001</v>
      </c>
    </row>
    <row r="24" spans="1:2">
      <c r="A24" s="3">
        <v>36099</v>
      </c>
      <c r="B24" s="12">
        <v>207413.34</v>
      </c>
    </row>
    <row r="25" spans="1:2">
      <c r="A25" s="2">
        <v>36129</v>
      </c>
      <c r="B25" s="13">
        <v>210561.45300000001</v>
      </c>
    </row>
    <row r="26" spans="1:2">
      <c r="A26" s="3">
        <v>36160</v>
      </c>
      <c r="B26" s="12">
        <v>223678.101</v>
      </c>
    </row>
    <row r="27" spans="1:2">
      <c r="A27" s="2">
        <v>36191</v>
      </c>
      <c r="B27" s="13">
        <v>226255.598</v>
      </c>
    </row>
    <row r="28" spans="1:2">
      <c r="A28" s="3">
        <v>36219</v>
      </c>
      <c r="B28" s="12">
        <v>233296.783</v>
      </c>
    </row>
    <row r="29" spans="1:2">
      <c r="A29" s="2">
        <v>36250</v>
      </c>
      <c r="B29" s="13">
        <v>236660.45</v>
      </c>
    </row>
    <row r="30" spans="1:2">
      <c r="A30" s="3">
        <v>36280</v>
      </c>
      <c r="B30" s="12">
        <v>236676.31099999999</v>
      </c>
    </row>
    <row r="31" spans="1:2">
      <c r="A31" s="2">
        <v>36311</v>
      </c>
      <c r="B31" s="13">
        <v>239913.16699999999</v>
      </c>
    </row>
    <row r="32" spans="1:2">
      <c r="A32" s="3">
        <v>36341</v>
      </c>
      <c r="B32" s="12">
        <v>242376.978</v>
      </c>
    </row>
    <row r="33" spans="1:2">
      <c r="A33" s="2">
        <v>36372</v>
      </c>
      <c r="B33" s="13">
        <v>244091.15900000001</v>
      </c>
    </row>
    <row r="34" spans="1:2">
      <c r="A34" s="3">
        <v>36403</v>
      </c>
      <c r="B34" s="12">
        <v>247353.25599999999</v>
      </c>
    </row>
    <row r="35" spans="1:2">
      <c r="A35" s="2">
        <v>36433</v>
      </c>
      <c r="B35" s="13">
        <v>252022.43900000001</v>
      </c>
    </row>
    <row r="36" spans="1:2">
      <c r="A36" s="3">
        <v>36464</v>
      </c>
      <c r="B36" s="12">
        <v>256819.715</v>
      </c>
    </row>
    <row r="37" spans="1:2">
      <c r="A37" s="2">
        <v>36494</v>
      </c>
      <c r="B37" s="13">
        <v>261352.72899999999</v>
      </c>
    </row>
    <row r="38" spans="1:2">
      <c r="A38" s="3">
        <v>36525</v>
      </c>
      <c r="B38" s="12">
        <v>268700.54499999998</v>
      </c>
    </row>
    <row r="39" spans="1:2">
      <c r="A39" s="2">
        <v>36556</v>
      </c>
      <c r="B39" s="13">
        <v>260852.62400000001</v>
      </c>
    </row>
    <row r="40" spans="1:2">
      <c r="A40" s="3">
        <v>36585</v>
      </c>
      <c r="B40" s="12">
        <v>264431.92599999998</v>
      </c>
    </row>
    <row r="41" spans="1:2">
      <c r="A41" s="2">
        <v>36616</v>
      </c>
      <c r="B41" s="13">
        <v>269598.13299999997</v>
      </c>
    </row>
    <row r="42" spans="1:2">
      <c r="A42" s="3">
        <v>36646</v>
      </c>
      <c r="B42" s="12">
        <v>272969.65899999999</v>
      </c>
    </row>
    <row r="43" spans="1:2">
      <c r="A43" s="2">
        <v>36677</v>
      </c>
      <c r="B43" s="13">
        <v>276690.83</v>
      </c>
    </row>
    <row r="44" spans="1:2">
      <c r="A44" s="3">
        <v>36707</v>
      </c>
      <c r="B44" s="12">
        <v>291693.38299999997</v>
      </c>
    </row>
    <row r="45" spans="1:2">
      <c r="A45" s="2">
        <v>36738</v>
      </c>
      <c r="B45" s="13">
        <v>284257.69500000001</v>
      </c>
    </row>
    <row r="46" spans="1:2">
      <c r="A46" s="3">
        <v>36769</v>
      </c>
      <c r="B46" s="12">
        <v>284914.891</v>
      </c>
    </row>
    <row r="47" spans="1:2">
      <c r="A47" s="2">
        <v>36799</v>
      </c>
      <c r="B47" s="13">
        <v>288852.12400000001</v>
      </c>
    </row>
    <row r="48" spans="1:2">
      <c r="A48" s="3">
        <v>36830</v>
      </c>
      <c r="B48" s="12">
        <v>295448.05599999998</v>
      </c>
    </row>
    <row r="49" spans="1:2">
      <c r="A49" s="2">
        <v>36860</v>
      </c>
      <c r="B49" s="13">
        <v>298749.98100000003</v>
      </c>
    </row>
    <row r="50" spans="1:2">
      <c r="A50" s="3">
        <v>36891</v>
      </c>
      <c r="B50" s="12">
        <v>300424.13699999999</v>
      </c>
    </row>
    <row r="51" spans="1:2">
      <c r="A51" s="2">
        <v>36922</v>
      </c>
      <c r="B51" s="13">
        <v>298976.51799999998</v>
      </c>
    </row>
    <row r="52" spans="1:2">
      <c r="A52" s="3">
        <v>36950</v>
      </c>
      <c r="B52" s="12">
        <v>303598.94099999999</v>
      </c>
    </row>
    <row r="53" spans="1:2">
      <c r="A53" s="2">
        <v>36981</v>
      </c>
      <c r="B53" s="13">
        <v>309065.8</v>
      </c>
    </row>
    <row r="54" spans="1:2">
      <c r="A54" s="3">
        <v>37011</v>
      </c>
      <c r="B54" s="12">
        <v>310319.03499999997</v>
      </c>
    </row>
    <row r="55" spans="1:2">
      <c r="A55" s="2">
        <v>37042</v>
      </c>
      <c r="B55" s="13">
        <v>312736.603</v>
      </c>
    </row>
    <row r="56" spans="1:2">
      <c r="A56" s="3">
        <v>37072</v>
      </c>
      <c r="B56" s="12">
        <v>314724.897</v>
      </c>
    </row>
    <row r="57" spans="1:2">
      <c r="A57" s="2">
        <v>37103</v>
      </c>
      <c r="B57" s="13">
        <v>320801.266</v>
      </c>
    </row>
    <row r="58" spans="1:2">
      <c r="A58" s="3">
        <v>37134</v>
      </c>
      <c r="B58" s="12">
        <v>324636.13299999997</v>
      </c>
    </row>
    <row r="59" spans="1:2">
      <c r="A59" s="2">
        <v>37164</v>
      </c>
      <c r="B59" s="13">
        <v>326867.489</v>
      </c>
    </row>
    <row r="60" spans="1:2">
      <c r="A60" s="3">
        <v>37195</v>
      </c>
      <c r="B60" s="12">
        <v>330919.54399999999</v>
      </c>
    </row>
    <row r="61" spans="1:2">
      <c r="A61" s="2">
        <v>37225</v>
      </c>
      <c r="B61" s="13">
        <v>322359.73800000001</v>
      </c>
    </row>
    <row r="62" spans="1:2">
      <c r="A62" s="3">
        <v>37256</v>
      </c>
      <c r="B62" s="12">
        <v>329469.14600000001</v>
      </c>
    </row>
    <row r="63" spans="1:2">
      <c r="A63" s="2">
        <v>37287</v>
      </c>
      <c r="B63" s="13">
        <v>323454.18900000001</v>
      </c>
    </row>
    <row r="64" spans="1:2">
      <c r="A64" s="3">
        <v>37315</v>
      </c>
      <c r="B64" s="12">
        <v>326183.53899999999</v>
      </c>
    </row>
    <row r="65" spans="1:2">
      <c r="A65" s="2">
        <v>37346</v>
      </c>
      <c r="B65" s="13">
        <v>320959.39299999998</v>
      </c>
    </row>
    <row r="66" spans="1:2">
      <c r="A66" s="3">
        <v>37376</v>
      </c>
      <c r="B66" s="12">
        <v>319709.61700000003</v>
      </c>
    </row>
    <row r="67" spans="1:2">
      <c r="A67" s="2">
        <v>37407</v>
      </c>
      <c r="B67" s="13">
        <v>324489.52899999998</v>
      </c>
    </row>
    <row r="68" spans="1:2">
      <c r="A68" s="3">
        <v>37437</v>
      </c>
      <c r="B68" s="12">
        <v>324586.696</v>
      </c>
    </row>
    <row r="69" spans="1:2">
      <c r="A69" s="2">
        <v>37468</v>
      </c>
      <c r="B69" s="13">
        <v>327167.08100000001</v>
      </c>
    </row>
    <row r="70" spans="1:2">
      <c r="A70" s="3">
        <v>37499</v>
      </c>
      <c r="B70" s="12">
        <v>326017.51500000001</v>
      </c>
    </row>
    <row r="71" spans="1:2">
      <c r="A71" s="2">
        <v>37529</v>
      </c>
      <c r="B71" s="13">
        <v>324017.337</v>
      </c>
    </row>
    <row r="72" spans="1:2">
      <c r="A72" s="3">
        <v>37560</v>
      </c>
      <c r="B72" s="12">
        <v>324620.533</v>
      </c>
    </row>
    <row r="73" spans="1:2">
      <c r="A73" s="2">
        <v>37590</v>
      </c>
      <c r="B73" s="13">
        <v>321562.565</v>
      </c>
    </row>
    <row r="74" spans="1:2">
      <c r="A74" s="3">
        <v>37621</v>
      </c>
      <c r="B74" s="12">
        <v>324346.43</v>
      </c>
    </row>
    <row r="75" spans="1:2">
      <c r="A75" s="2">
        <v>37652</v>
      </c>
      <c r="B75" s="13">
        <v>319758.53399999999</v>
      </c>
    </row>
    <row r="76" spans="1:2">
      <c r="A76" s="3">
        <v>37680</v>
      </c>
      <c r="B76" s="12">
        <v>323056.95400000003</v>
      </c>
    </row>
    <row r="77" spans="1:2">
      <c r="A77" s="2">
        <v>37711</v>
      </c>
      <c r="B77" s="13">
        <v>322637.84999999998</v>
      </c>
    </row>
    <row r="78" spans="1:2">
      <c r="A78" s="3">
        <v>37741</v>
      </c>
      <c r="B78" s="12">
        <v>321984.99</v>
      </c>
    </row>
    <row r="79" spans="1:2">
      <c r="A79" s="2">
        <v>37772</v>
      </c>
      <c r="B79" s="13">
        <v>325064.66399999999</v>
      </c>
    </row>
    <row r="80" spans="1:2">
      <c r="A80" s="3">
        <v>37802</v>
      </c>
      <c r="B80" s="12">
        <v>327733.06599999999</v>
      </c>
    </row>
    <row r="81" spans="1:2">
      <c r="A81" s="2">
        <v>37833</v>
      </c>
      <c r="B81" s="13">
        <v>327958.022</v>
      </c>
    </row>
    <row r="82" spans="1:2">
      <c r="A82" s="3">
        <v>37864</v>
      </c>
      <c r="B82" s="12">
        <v>329714.07</v>
      </c>
    </row>
    <row r="83" spans="1:2">
      <c r="A83" s="2">
        <v>37894</v>
      </c>
      <c r="B83" s="13">
        <v>331850.36700000003</v>
      </c>
    </row>
    <row r="84" spans="1:2">
      <c r="A84" s="3">
        <v>37925</v>
      </c>
      <c r="B84" s="12">
        <v>337353.33399999997</v>
      </c>
    </row>
    <row r="85" spans="1:2">
      <c r="A85" s="2">
        <v>37955</v>
      </c>
      <c r="B85" s="13">
        <v>339297.82</v>
      </c>
    </row>
    <row r="86" spans="1:2">
      <c r="A86" s="3">
        <v>37986</v>
      </c>
      <c r="B86" s="12">
        <v>342860.22</v>
      </c>
    </row>
    <row r="87" spans="1:2">
      <c r="A87" s="2">
        <v>38017</v>
      </c>
      <c r="B87" s="13">
        <v>336935.97499999998</v>
      </c>
    </row>
    <row r="88" spans="1:2">
      <c r="A88" s="3">
        <v>38046</v>
      </c>
      <c r="B88" s="12">
        <v>340271.24400000001</v>
      </c>
    </row>
    <row r="89" spans="1:2">
      <c r="A89" s="2">
        <v>38077</v>
      </c>
      <c r="B89" s="13">
        <v>342096.45500000002</v>
      </c>
    </row>
    <row r="90" spans="1:2">
      <c r="A90" s="3">
        <v>38107</v>
      </c>
      <c r="B90" s="12">
        <v>350781.27</v>
      </c>
    </row>
    <row r="91" spans="1:2">
      <c r="A91" s="2">
        <v>38138</v>
      </c>
      <c r="B91" s="13">
        <v>346624.72499999998</v>
      </c>
    </row>
    <row r="92" spans="1:2">
      <c r="A92" s="3">
        <v>38168</v>
      </c>
      <c r="B92" s="12">
        <v>350294.50199999998</v>
      </c>
    </row>
    <row r="93" spans="1:2">
      <c r="A93" s="2">
        <v>38199</v>
      </c>
      <c r="B93" s="13">
        <v>349192.62699999998</v>
      </c>
    </row>
    <row r="94" spans="1:2">
      <c r="A94" s="3">
        <v>38230</v>
      </c>
      <c r="B94" s="12">
        <v>353147.17</v>
      </c>
    </row>
    <row r="95" spans="1:2">
      <c r="A95" s="2">
        <v>38260</v>
      </c>
      <c r="B95" s="13">
        <v>352678.31599999999</v>
      </c>
    </row>
    <row r="96" spans="1:2">
      <c r="A96" s="3">
        <v>38291</v>
      </c>
      <c r="B96" s="12">
        <v>372303.23800000001</v>
      </c>
    </row>
    <row r="97" spans="1:2">
      <c r="A97" s="2">
        <v>38321</v>
      </c>
      <c r="B97" s="13">
        <v>359231.34299999999</v>
      </c>
    </row>
    <row r="98" spans="1:2">
      <c r="A98" s="3">
        <v>38352</v>
      </c>
      <c r="B98" s="12">
        <v>368714.13699999999</v>
      </c>
    </row>
    <row r="99" spans="1:2">
      <c r="A99" s="2">
        <v>38383</v>
      </c>
      <c r="B99" s="13">
        <v>366416.95500000002</v>
      </c>
    </row>
    <row r="100" spans="1:2">
      <c r="A100" s="3">
        <v>38411</v>
      </c>
      <c r="B100" s="12">
        <v>371693.57699999999</v>
      </c>
    </row>
    <row r="101" spans="1:2">
      <c r="A101" s="2">
        <v>38442</v>
      </c>
      <c r="B101" s="13">
        <v>380308.27299999999</v>
      </c>
    </row>
    <row r="102" spans="1:2">
      <c r="A102" s="3">
        <v>38472</v>
      </c>
      <c r="B102" s="12">
        <v>385623.92499999999</v>
      </c>
    </row>
    <row r="103" spans="1:2">
      <c r="A103" s="2">
        <v>38503</v>
      </c>
      <c r="B103" s="13">
        <v>392122.96100000001</v>
      </c>
    </row>
    <row r="104" spans="1:2">
      <c r="A104" s="3">
        <v>38533</v>
      </c>
      <c r="B104" s="12">
        <v>390159.92700000003</v>
      </c>
    </row>
    <row r="105" spans="1:2">
      <c r="A105" s="2">
        <v>38564</v>
      </c>
      <c r="B105" s="13">
        <v>391150.42200000002</v>
      </c>
    </row>
    <row r="106" spans="1:2">
      <c r="A106" s="3">
        <v>38595</v>
      </c>
      <c r="B106" s="12">
        <v>397421.79700000002</v>
      </c>
    </row>
    <row r="107" spans="1:2">
      <c r="A107" s="2">
        <v>38625</v>
      </c>
      <c r="B107" s="13">
        <v>401581.22</v>
      </c>
    </row>
    <row r="108" spans="1:2">
      <c r="A108" s="3">
        <v>38656</v>
      </c>
      <c r="B108" s="12">
        <v>407006.48100000003</v>
      </c>
    </row>
    <row r="109" spans="1:2">
      <c r="A109" s="2">
        <v>38686</v>
      </c>
      <c r="B109" s="13">
        <v>408782.11300000001</v>
      </c>
    </row>
    <row r="110" spans="1:2">
      <c r="A110" s="3">
        <v>38717</v>
      </c>
      <c r="B110" s="12">
        <v>415163.51899999997</v>
      </c>
    </row>
    <row r="111" spans="1:2">
      <c r="A111" s="2">
        <v>38748</v>
      </c>
      <c r="B111" s="13">
        <v>410120.20600000001</v>
      </c>
    </row>
    <row r="112" spans="1:2">
      <c r="A112" s="3">
        <v>38776</v>
      </c>
      <c r="B112" s="12">
        <v>417061.95899999997</v>
      </c>
    </row>
    <row r="113" spans="1:2">
      <c r="A113" s="2">
        <v>38807</v>
      </c>
      <c r="B113" s="13">
        <v>421150.53100000002</v>
      </c>
    </row>
    <row r="114" spans="1:2">
      <c r="A114" s="3">
        <v>38837</v>
      </c>
      <c r="B114" s="12">
        <v>425273.79300000001</v>
      </c>
    </row>
    <row r="115" spans="1:2">
      <c r="A115" s="2">
        <v>38868</v>
      </c>
      <c r="B115" s="13">
        <v>433601.45199999999</v>
      </c>
    </row>
    <row r="116" spans="1:2">
      <c r="A116" s="3">
        <v>38898</v>
      </c>
      <c r="B116" s="12">
        <v>440505.17800000001</v>
      </c>
    </row>
    <row r="117" spans="1:2">
      <c r="A117" s="2">
        <v>38929</v>
      </c>
      <c r="B117" s="13">
        <v>442798.05800000002</v>
      </c>
    </row>
    <row r="118" spans="1:2">
      <c r="A118" s="3">
        <v>38960</v>
      </c>
      <c r="B118" s="12">
        <v>449012.04100000003</v>
      </c>
    </row>
    <row r="119" spans="1:2">
      <c r="A119" s="2">
        <v>38990</v>
      </c>
      <c r="B119" s="13">
        <v>454205.82799999998</v>
      </c>
    </row>
    <row r="120" spans="1:2">
      <c r="A120" s="3">
        <v>39021</v>
      </c>
      <c r="B120" s="12">
        <v>459026.73</v>
      </c>
    </row>
    <row r="121" spans="1:2">
      <c r="A121" s="2">
        <v>39051</v>
      </c>
      <c r="B121" s="13">
        <v>466057.04399999999</v>
      </c>
    </row>
    <row r="122" spans="1:2">
      <c r="A122" s="3">
        <v>39082</v>
      </c>
      <c r="B122" s="12">
        <v>481210.46600000001</v>
      </c>
    </row>
    <row r="123" spans="1:2">
      <c r="A123" s="2">
        <v>39113</v>
      </c>
      <c r="B123" s="13">
        <v>488060.83299999998</v>
      </c>
    </row>
    <row r="124" spans="1:2">
      <c r="A124" s="3">
        <v>39141</v>
      </c>
      <c r="B124" s="12">
        <v>495376.46100000001</v>
      </c>
    </row>
    <row r="125" spans="1:2">
      <c r="A125" s="2">
        <v>39172</v>
      </c>
      <c r="B125" s="13">
        <v>497294.745</v>
      </c>
    </row>
    <row r="126" spans="1:2">
      <c r="A126" s="3">
        <v>39202</v>
      </c>
      <c r="B126" s="12">
        <v>502083.30200000003</v>
      </c>
    </row>
    <row r="127" spans="1:2">
      <c r="A127" s="2">
        <v>39233</v>
      </c>
      <c r="B127" s="13">
        <v>504800.53700000001</v>
      </c>
    </row>
    <row r="128" spans="1:2">
      <c r="A128" s="3">
        <v>39263</v>
      </c>
      <c r="B128" s="12">
        <v>506806.99300000002</v>
      </c>
    </row>
    <row r="129" spans="1:2">
      <c r="A129" s="2">
        <v>39294</v>
      </c>
      <c r="B129" s="13">
        <v>511540.90600000002</v>
      </c>
    </row>
    <row r="130" spans="1:2">
      <c r="A130" s="3">
        <v>39325</v>
      </c>
      <c r="B130" s="12">
        <v>521751.55</v>
      </c>
    </row>
    <row r="131" spans="1:2">
      <c r="A131" s="2">
        <v>39355</v>
      </c>
      <c r="B131" s="13">
        <v>523462.95600000001</v>
      </c>
    </row>
    <row r="132" spans="1:2">
      <c r="A132" s="3">
        <v>39386</v>
      </c>
      <c r="B132" s="12">
        <v>527874.01899999997</v>
      </c>
    </row>
    <row r="133" spans="1:2">
      <c r="A133" s="2">
        <v>39416</v>
      </c>
      <c r="B133" s="13">
        <v>536088.88699999999</v>
      </c>
    </row>
    <row r="134" spans="1:2">
      <c r="A134" s="3">
        <v>39447</v>
      </c>
      <c r="B134" s="12">
        <v>549344.29099999997</v>
      </c>
    </row>
    <row r="135" spans="1:2">
      <c r="A135" s="2">
        <v>39478</v>
      </c>
      <c r="B135" s="13">
        <v>556007.73199999996</v>
      </c>
    </row>
    <row r="136" spans="1:2">
      <c r="A136" s="3">
        <v>39507</v>
      </c>
      <c r="B136" s="12">
        <v>565581.99699999997</v>
      </c>
    </row>
    <row r="137" spans="1:2">
      <c r="A137" s="2">
        <v>39538</v>
      </c>
      <c r="B137" s="13">
        <v>570176.45400000003</v>
      </c>
    </row>
    <row r="138" spans="1:2">
      <c r="A138" s="3">
        <v>39568</v>
      </c>
      <c r="B138" s="12">
        <v>581982.67299999995</v>
      </c>
    </row>
    <row r="139" spans="1:2">
      <c r="A139" s="2">
        <v>39599</v>
      </c>
      <c r="B139" s="13">
        <v>589308.47699999996</v>
      </c>
    </row>
    <row r="140" spans="1:2">
      <c r="A140" s="3">
        <v>39629</v>
      </c>
      <c r="B140" s="12">
        <v>595558.24199999997</v>
      </c>
    </row>
    <row r="141" spans="1:2">
      <c r="A141" s="2">
        <v>39660</v>
      </c>
      <c r="B141" s="13">
        <v>605561.12600000005</v>
      </c>
    </row>
    <row r="142" spans="1:2">
      <c r="A142" s="3">
        <v>39691</v>
      </c>
      <c r="B142" s="12">
        <v>614791.02899999998</v>
      </c>
    </row>
    <row r="143" spans="1:2">
      <c r="A143" s="2">
        <v>39721</v>
      </c>
      <c r="B143" s="13">
        <v>619703.1</v>
      </c>
    </row>
    <row r="144" spans="1:2">
      <c r="A144" s="3">
        <v>39752</v>
      </c>
      <c r="B144" s="12">
        <v>627470.86899999995</v>
      </c>
    </row>
    <row r="145" spans="1:2">
      <c r="A145" s="2">
        <v>39782</v>
      </c>
      <c r="B145" s="13">
        <v>639993.54200000002</v>
      </c>
    </row>
    <row r="146" spans="1:2">
      <c r="A146" s="3">
        <v>39813</v>
      </c>
      <c r="B146" s="12">
        <v>660239.87600000005</v>
      </c>
    </row>
    <row r="147" spans="1:2">
      <c r="A147" s="2">
        <v>39844</v>
      </c>
      <c r="B147" s="13">
        <v>663027.98600000003</v>
      </c>
    </row>
    <row r="148" spans="1:2">
      <c r="A148" s="3">
        <v>39872</v>
      </c>
      <c r="B148" s="12">
        <v>674154.74800000002</v>
      </c>
    </row>
    <row r="149" spans="1:2">
      <c r="A149" s="2">
        <v>39903</v>
      </c>
      <c r="B149" s="13">
        <v>678861.29299999995</v>
      </c>
    </row>
    <row r="150" spans="1:2">
      <c r="A150" s="3">
        <v>39933</v>
      </c>
      <c r="B150" s="12">
        <v>675202.14899999998</v>
      </c>
    </row>
    <row r="151" spans="1:2">
      <c r="A151" s="2">
        <v>39964</v>
      </c>
      <c r="B151" s="13">
        <v>680445.21699999995</v>
      </c>
    </row>
    <row r="152" spans="1:2">
      <c r="A152" s="3">
        <v>39994</v>
      </c>
      <c r="B152" s="12">
        <v>687454.58499999996</v>
      </c>
    </row>
    <row r="153" spans="1:2">
      <c r="A153" s="2">
        <v>40025</v>
      </c>
      <c r="B153" s="13">
        <v>682404.83299999998</v>
      </c>
    </row>
    <row r="154" spans="1:2">
      <c r="A154" s="3">
        <v>40056</v>
      </c>
      <c r="B154" s="12">
        <v>678889.77399999998</v>
      </c>
    </row>
    <row r="155" spans="1:2">
      <c r="A155" s="2">
        <v>40086</v>
      </c>
      <c r="B155" s="13">
        <v>685513.76399999997</v>
      </c>
    </row>
    <row r="156" spans="1:2">
      <c r="A156" s="3">
        <v>40117</v>
      </c>
      <c r="B156" s="12">
        <v>698940.69900000002</v>
      </c>
    </row>
    <row r="157" spans="1:2">
      <c r="A157" s="2">
        <v>40147</v>
      </c>
      <c r="B157" s="13">
        <v>694897.35600000003</v>
      </c>
    </row>
    <row r="158" spans="1:2">
      <c r="A158" s="3">
        <v>40178</v>
      </c>
      <c r="B158" s="12">
        <v>714757.821</v>
      </c>
    </row>
    <row r="159" spans="1:2">
      <c r="A159" s="2">
        <v>40209</v>
      </c>
      <c r="B159" s="13">
        <v>705346.04700000002</v>
      </c>
    </row>
    <row r="160" spans="1:2">
      <c r="A160" s="3">
        <v>40237</v>
      </c>
      <c r="B160" s="12">
        <v>711014.14300000004</v>
      </c>
    </row>
    <row r="161" spans="1:2">
      <c r="A161" s="2">
        <v>40268</v>
      </c>
      <c r="B161" s="13">
        <v>712761.51899999997</v>
      </c>
    </row>
    <row r="162" spans="1:2">
      <c r="A162" s="3">
        <v>40298</v>
      </c>
      <c r="B162" s="12">
        <v>713066.93799999997</v>
      </c>
    </row>
    <row r="163" spans="1:2">
      <c r="A163" s="2">
        <v>40329</v>
      </c>
      <c r="B163" s="13">
        <v>730147.68599999999</v>
      </c>
    </row>
    <row r="164" spans="1:2">
      <c r="A164" s="3">
        <v>40359</v>
      </c>
      <c r="B164" s="12">
        <v>736375.59600000002</v>
      </c>
    </row>
    <row r="165" spans="1:2">
      <c r="A165" s="2">
        <v>40390</v>
      </c>
      <c r="B165" s="13">
        <v>734376.01599999995</v>
      </c>
    </row>
    <row r="166" spans="1:2">
      <c r="A166" s="3">
        <v>40421</v>
      </c>
      <c r="B166" s="12">
        <v>739043.37800000003</v>
      </c>
    </row>
    <row r="167" spans="1:2">
      <c r="A167" s="2">
        <v>40451</v>
      </c>
      <c r="B167" s="13">
        <v>744491.80299999996</v>
      </c>
    </row>
    <row r="168" spans="1:2">
      <c r="A168" s="3">
        <v>40482</v>
      </c>
      <c r="B168" s="12">
        <v>748187.11499999999</v>
      </c>
    </row>
    <row r="169" spans="1:2">
      <c r="A169" s="2">
        <v>40512</v>
      </c>
      <c r="B169" s="13">
        <v>754637.68900000001</v>
      </c>
    </row>
    <row r="170" spans="1:2">
      <c r="A170" s="3">
        <v>40543</v>
      </c>
      <c r="B170" s="12">
        <v>774657.90399999998</v>
      </c>
    </row>
    <row r="171" spans="1:2">
      <c r="A171" s="2">
        <v>40574</v>
      </c>
      <c r="B171" s="13">
        <v>761148.79599999997</v>
      </c>
    </row>
    <row r="172" spans="1:2">
      <c r="A172" s="3">
        <v>40602</v>
      </c>
      <c r="B172" s="12">
        <v>768891.43599999999</v>
      </c>
    </row>
    <row r="173" spans="1:2">
      <c r="A173" s="2">
        <v>40633</v>
      </c>
      <c r="B173" s="13">
        <v>792669.57299999997</v>
      </c>
    </row>
    <row r="174" spans="1:2">
      <c r="A174" s="3">
        <v>40663</v>
      </c>
      <c r="B174" s="12">
        <v>779152.28700000001</v>
      </c>
    </row>
    <row r="175" spans="1:2">
      <c r="A175" s="2">
        <v>40694</v>
      </c>
      <c r="B175" s="13">
        <v>783468.52399999998</v>
      </c>
    </row>
    <row r="176" spans="1:2">
      <c r="A176" s="3">
        <v>40724</v>
      </c>
      <c r="B176" s="12">
        <v>788125.22</v>
      </c>
    </row>
    <row r="177" spans="1:2">
      <c r="A177" s="2">
        <v>40755</v>
      </c>
      <c r="B177" s="13">
        <v>787548.05099999998</v>
      </c>
    </row>
    <row r="178" spans="1:2">
      <c r="A178" s="3">
        <v>40786</v>
      </c>
      <c r="B178" s="12">
        <v>800229.72199999995</v>
      </c>
    </row>
    <row r="179" spans="1:2">
      <c r="A179" s="2">
        <v>40816</v>
      </c>
      <c r="B179" s="13">
        <v>814265.15500000003</v>
      </c>
    </row>
    <row r="180" spans="1:2">
      <c r="A180" s="3">
        <v>40847</v>
      </c>
      <c r="B180" s="12">
        <v>817584.86699999997</v>
      </c>
    </row>
    <row r="181" spans="1:2">
      <c r="A181" s="2">
        <v>40877</v>
      </c>
      <c r="B181" s="13">
        <v>836794.03099999996</v>
      </c>
    </row>
    <row r="182" spans="1:2">
      <c r="A182" s="3">
        <v>40908</v>
      </c>
      <c r="B182" s="12">
        <v>863745.52099999995</v>
      </c>
    </row>
    <row r="183" spans="1:2">
      <c r="A183" s="2">
        <v>40939</v>
      </c>
      <c r="B183" s="13">
        <v>855202.85800000001</v>
      </c>
    </row>
    <row r="184" spans="1:2">
      <c r="A184" s="3">
        <v>40968</v>
      </c>
      <c r="B184" s="12">
        <v>860213.87199999997</v>
      </c>
    </row>
    <row r="185" spans="1:2">
      <c r="A185" s="2">
        <v>40999</v>
      </c>
      <c r="B185" s="13">
        <v>859994.951</v>
      </c>
    </row>
    <row r="186" spans="1:2">
      <c r="A186" s="3">
        <v>41029</v>
      </c>
      <c r="B186" s="12">
        <v>854927.24</v>
      </c>
    </row>
    <row r="187" spans="1:2">
      <c r="A187" s="2">
        <v>41060</v>
      </c>
      <c r="B187" s="13">
        <v>867102.00600000005</v>
      </c>
    </row>
    <row r="188" spans="1:2">
      <c r="A188" s="3">
        <v>41090</v>
      </c>
      <c r="B188" s="12">
        <v>868777.85100000002</v>
      </c>
    </row>
    <row r="189" spans="1:2">
      <c r="A189" s="2">
        <v>41121</v>
      </c>
      <c r="B189" s="13">
        <v>869059.23199999996</v>
      </c>
    </row>
    <row r="190" spans="1:2">
      <c r="A190" s="3">
        <v>41152</v>
      </c>
      <c r="B190" s="12">
        <v>872955.40300000005</v>
      </c>
    </row>
    <row r="191" spans="1:2">
      <c r="A191" s="2">
        <v>41182</v>
      </c>
      <c r="B191" s="13">
        <v>874563.2</v>
      </c>
    </row>
    <row r="192" spans="1:2">
      <c r="A192" s="3">
        <v>41213</v>
      </c>
      <c r="B192" s="12">
        <v>879012.17099999997</v>
      </c>
    </row>
    <row r="193" spans="1:2">
      <c r="A193" s="2">
        <v>41243</v>
      </c>
      <c r="B193" s="13">
        <v>882074.71900000004</v>
      </c>
    </row>
    <row r="194" spans="1:2">
      <c r="A194" s="3">
        <v>41274</v>
      </c>
      <c r="B194" s="12">
        <v>900336.73100000003</v>
      </c>
    </row>
    <row r="195" spans="1:2">
      <c r="A195" s="2">
        <v>41305</v>
      </c>
      <c r="B195" s="13">
        <v>895716.81799999997</v>
      </c>
    </row>
    <row r="196" spans="1:2">
      <c r="A196" s="3">
        <v>41333</v>
      </c>
      <c r="B196" s="12">
        <v>904415.03099999996</v>
      </c>
    </row>
    <row r="197" spans="1:2">
      <c r="A197" s="2">
        <v>41364</v>
      </c>
      <c r="B197" s="13">
        <v>915839.38399999996</v>
      </c>
    </row>
    <row r="198" spans="1:2">
      <c r="A198" s="3">
        <v>41394</v>
      </c>
      <c r="B198" s="12">
        <v>914731.59900000005</v>
      </c>
    </row>
    <row r="199" spans="1:2">
      <c r="A199" s="2">
        <v>41425</v>
      </c>
      <c r="B199" s="13">
        <v>920112.13600000006</v>
      </c>
    </row>
    <row r="200" spans="1:2">
      <c r="A200" s="3">
        <v>41455</v>
      </c>
      <c r="B200" s="12">
        <v>927344.50600000005</v>
      </c>
    </row>
    <row r="201" spans="1:2">
      <c r="A201" s="2">
        <v>41486</v>
      </c>
      <c r="B201" s="13">
        <v>921661.48400000005</v>
      </c>
    </row>
    <row r="202" spans="1:2">
      <c r="A202" s="3">
        <v>41517</v>
      </c>
      <c r="B202" s="12">
        <v>928358.84699999995</v>
      </c>
    </row>
    <row r="203" spans="1:2">
      <c r="A203" s="2">
        <v>41547</v>
      </c>
      <c r="B203" s="13">
        <v>931041.81499999994</v>
      </c>
    </row>
    <row r="204" spans="1:2">
      <c r="A204" s="3">
        <v>41578</v>
      </c>
      <c r="B204" s="12">
        <v>935095.23300000001</v>
      </c>
    </row>
    <row r="205" spans="1:2">
      <c r="A205" s="2">
        <v>41608</v>
      </c>
      <c r="B205" s="13">
        <v>934713.23600000003</v>
      </c>
    </row>
    <row r="206" spans="1:2">
      <c r="A206" s="3">
        <v>41639</v>
      </c>
      <c r="B206" s="12">
        <v>960344.91299999994</v>
      </c>
    </row>
    <row r="207" spans="1:2">
      <c r="A207" s="2">
        <v>41670</v>
      </c>
      <c r="B207" s="13">
        <v>947443.32299999997</v>
      </c>
    </row>
    <row r="208" spans="1:2">
      <c r="A208" s="3">
        <v>41698</v>
      </c>
      <c r="B208" s="12">
        <v>954284.05299999996</v>
      </c>
    </row>
    <row r="209" spans="1:2">
      <c r="A209" s="2">
        <v>41729</v>
      </c>
      <c r="B209" s="13">
        <v>964623.74100000004</v>
      </c>
    </row>
    <row r="210" spans="1:2">
      <c r="A210" s="3">
        <v>41759</v>
      </c>
      <c r="B210" s="12">
        <v>969753.51599999995</v>
      </c>
    </row>
    <row r="211" spans="1:2">
      <c r="A211" s="2">
        <v>41790</v>
      </c>
      <c r="B211" s="13">
        <v>975000.902</v>
      </c>
    </row>
    <row r="212" spans="1:2">
      <c r="A212" s="3">
        <v>41820</v>
      </c>
      <c r="B212" s="12">
        <v>980089.48800000001</v>
      </c>
    </row>
    <row r="213" spans="1:2">
      <c r="A213" s="2">
        <v>41851</v>
      </c>
      <c r="B213" s="13">
        <v>985769.15599999996</v>
      </c>
    </row>
    <row r="214" spans="1:2">
      <c r="A214" s="3">
        <v>41882</v>
      </c>
      <c r="B214" s="12">
        <v>1003128.3639999999</v>
      </c>
    </row>
    <row r="215" spans="1:2">
      <c r="A215" s="2">
        <v>41912</v>
      </c>
      <c r="B215" s="13">
        <v>1003354.341</v>
      </c>
    </row>
    <row r="216" spans="1:2">
      <c r="A216" s="3">
        <v>41943</v>
      </c>
      <c r="B216" s="12">
        <v>1011930.5550000001</v>
      </c>
    </row>
    <row r="217" spans="1:2">
      <c r="A217" s="2">
        <v>41973</v>
      </c>
      <c r="B217" s="13">
        <v>1017658.848</v>
      </c>
    </row>
    <row r="218" spans="1:2">
      <c r="A218" s="3">
        <v>42004</v>
      </c>
      <c r="B218" s="12">
        <v>1044552.907</v>
      </c>
    </row>
    <row r="219" spans="1:2">
      <c r="A219" s="2">
        <v>42035</v>
      </c>
      <c r="B219" s="13">
        <v>1032424.444</v>
      </c>
    </row>
    <row r="220" spans="1:2">
      <c r="A220" s="3">
        <v>42063</v>
      </c>
      <c r="B220" s="12">
        <v>1038760.559</v>
      </c>
    </row>
    <row r="221" spans="1:2">
      <c r="A221" s="2">
        <v>42094</v>
      </c>
      <c r="B221" s="13">
        <v>1050848.922</v>
      </c>
    </row>
    <row r="222" spans="1:2">
      <c r="A222" s="3">
        <v>42124</v>
      </c>
      <c r="B222" s="12">
        <v>1043441.637</v>
      </c>
    </row>
    <row r="223" spans="1:2">
      <c r="A223" s="2">
        <v>42155</v>
      </c>
      <c r="B223" s="13">
        <v>1052740.9609999999</v>
      </c>
    </row>
    <row r="224" spans="1:2">
      <c r="A224" s="3">
        <v>42185</v>
      </c>
      <c r="B224" s="12">
        <v>1065897.2749999999</v>
      </c>
    </row>
    <row r="225" spans="1:2">
      <c r="A225" s="2">
        <v>42216</v>
      </c>
      <c r="B225" s="13">
        <v>1074074.4850000001</v>
      </c>
    </row>
    <row r="226" spans="1:2">
      <c r="A226" s="3">
        <v>42247</v>
      </c>
      <c r="B226" s="12">
        <v>1083208.702</v>
      </c>
    </row>
    <row r="227" spans="1:2">
      <c r="A227" s="2">
        <v>42277</v>
      </c>
      <c r="B227" s="13">
        <v>1094310.5009999999</v>
      </c>
    </row>
    <row r="228" spans="1:2">
      <c r="A228" s="3">
        <v>42308</v>
      </c>
      <c r="B228" s="12">
        <v>1107298.067</v>
      </c>
    </row>
    <row r="229" spans="1:2">
      <c r="A229" s="2">
        <v>42338</v>
      </c>
      <c r="B229" s="13">
        <v>1118293.72</v>
      </c>
    </row>
    <row r="230" spans="1:2">
      <c r="A230" s="3">
        <v>42369</v>
      </c>
      <c r="B230" s="12">
        <v>1145258.817</v>
      </c>
    </row>
    <row r="231" spans="1:2">
      <c r="A231" s="2">
        <v>42400</v>
      </c>
      <c r="B231" s="13">
        <v>1140951.3370000001</v>
      </c>
    </row>
    <row r="232" spans="1:2">
      <c r="A232" s="3">
        <v>42429</v>
      </c>
      <c r="B232" s="12">
        <v>1150393.358</v>
      </c>
    </row>
    <row r="233" spans="1:2">
      <c r="A233" s="2">
        <v>42460</v>
      </c>
      <c r="B233" s="13">
        <v>1154736.0970000001</v>
      </c>
    </row>
    <row r="234" spans="1:2">
      <c r="A234" s="3">
        <v>42490</v>
      </c>
      <c r="B234" s="12">
        <v>1169793.673</v>
      </c>
    </row>
    <row r="235" spans="1:2">
      <c r="A235" s="2">
        <v>42521</v>
      </c>
      <c r="B235" s="13">
        <v>1180640.1850000001</v>
      </c>
    </row>
    <row r="236" spans="1:2">
      <c r="A236" s="3">
        <v>42551</v>
      </c>
      <c r="B236" s="12">
        <v>1192033.5249999999</v>
      </c>
    </row>
    <row r="237" spans="1:2">
      <c r="A237" s="2">
        <v>42582</v>
      </c>
      <c r="B237" s="13">
        <v>1194740.0209999999</v>
      </c>
    </row>
    <row r="238" spans="1:2">
      <c r="A238" s="3">
        <v>42613</v>
      </c>
      <c r="B238" s="12">
        <v>1195282.172</v>
      </c>
    </row>
    <row r="239" spans="1:2">
      <c r="A239" s="2">
        <v>42643</v>
      </c>
      <c r="B239" s="13">
        <v>1200629.672</v>
      </c>
    </row>
    <row r="240" spans="1:2">
      <c r="A240" s="3">
        <v>42674</v>
      </c>
      <c r="B240" s="12">
        <v>1208958.246</v>
      </c>
    </row>
    <row r="241" spans="1:2">
      <c r="A241" s="2">
        <v>42704</v>
      </c>
      <c r="B241" s="13">
        <v>1231173.0859999999</v>
      </c>
    </row>
    <row r="242" spans="1:2">
      <c r="A242" s="3">
        <v>42735</v>
      </c>
      <c r="B242" s="12">
        <v>1256211.8600000001</v>
      </c>
    </row>
    <row r="243" spans="1:2">
      <c r="A243" s="2">
        <v>42766</v>
      </c>
      <c r="B243" s="13">
        <v>1238924.1910000001</v>
      </c>
    </row>
    <row r="244" spans="1:2">
      <c r="A244" s="3">
        <v>42794</v>
      </c>
      <c r="B244" s="12">
        <v>1244740.997</v>
      </c>
    </row>
    <row r="245" spans="1:2">
      <c r="A245" s="2">
        <v>42825</v>
      </c>
      <c r="B245" s="13">
        <v>1243238.909</v>
      </c>
    </row>
    <row r="246" spans="1:2">
      <c r="A246" s="3">
        <v>42855</v>
      </c>
      <c r="B246" s="12">
        <v>1246275.189</v>
      </c>
    </row>
    <row r="247" spans="1:2">
      <c r="A247" s="2">
        <v>42886</v>
      </c>
      <c r="B247" s="13">
        <v>1250680.325</v>
      </c>
    </row>
    <row r="248" spans="1:2">
      <c r="A248" s="3">
        <v>42916</v>
      </c>
      <c r="B248" s="12">
        <v>1249015.2350000001</v>
      </c>
    </row>
    <row r="249" spans="1:2">
      <c r="A249" s="2">
        <v>42947</v>
      </c>
      <c r="B249" s="13">
        <v>1252247.8030000001</v>
      </c>
    </row>
    <row r="250" spans="1:2">
      <c r="A250" s="3">
        <v>42978</v>
      </c>
      <c r="B250" s="12">
        <v>1259261.618</v>
      </c>
    </row>
    <row r="251" spans="1:2">
      <c r="A251" s="2">
        <v>43008</v>
      </c>
      <c r="B251" s="13">
        <v>1266349.04</v>
      </c>
    </row>
    <row r="252" spans="1:2">
      <c r="A252" s="3">
        <v>43039</v>
      </c>
      <c r="B252" s="12">
        <v>1277419.0209999999</v>
      </c>
    </row>
    <row r="253" spans="1:2">
      <c r="A253" s="2">
        <v>43069</v>
      </c>
      <c r="B253" s="13">
        <v>1284960.2180000001</v>
      </c>
    </row>
    <row r="254" spans="1:2">
      <c r="A254" s="3">
        <v>43100</v>
      </c>
      <c r="B254" s="12">
        <v>1312847.3189999999</v>
      </c>
    </row>
    <row r="255" spans="1:2">
      <c r="A255" s="2">
        <v>43131</v>
      </c>
      <c r="B255" s="13">
        <v>1296258.294</v>
      </c>
    </row>
    <row r="256" spans="1:2">
      <c r="A256" s="3">
        <v>43159</v>
      </c>
      <c r="B256" s="12">
        <v>1303824.041</v>
      </c>
    </row>
    <row r="257" spans="1:2">
      <c r="A257" s="2">
        <v>43190</v>
      </c>
      <c r="B257" s="13">
        <v>1310701.665</v>
      </c>
    </row>
    <row r="258" spans="1:2">
      <c r="A258" s="3">
        <v>43220</v>
      </c>
      <c r="B258" s="12">
        <v>1313095.2690000001</v>
      </c>
    </row>
    <row r="259" spans="1:2">
      <c r="A259" s="2">
        <v>43251</v>
      </c>
      <c r="B259" s="13">
        <v>1331452.952</v>
      </c>
    </row>
    <row r="260" spans="1:2">
      <c r="A260" s="3">
        <v>43281</v>
      </c>
      <c r="B260" s="12">
        <v>1339105.6359999999</v>
      </c>
    </row>
    <row r="261" spans="1:2">
      <c r="A261" s="2">
        <v>43312</v>
      </c>
      <c r="B261" s="13">
        <v>1343164.219</v>
      </c>
    </row>
    <row r="262" spans="1:2">
      <c r="A262" s="3">
        <v>43343</v>
      </c>
      <c r="B262" s="12">
        <v>1352880.0160000001</v>
      </c>
    </row>
    <row r="263" spans="1:2">
      <c r="A263" s="2">
        <v>43373</v>
      </c>
      <c r="B263" s="13">
        <v>1359313.764</v>
      </c>
    </row>
    <row r="264" spans="1:2">
      <c r="A264" s="3">
        <v>43404</v>
      </c>
      <c r="B264" s="12">
        <v>1380484.551</v>
      </c>
    </row>
    <row r="265" spans="1:2">
      <c r="A265" s="2">
        <v>43434</v>
      </c>
      <c r="B265" s="13">
        <v>1395254.1669999999</v>
      </c>
    </row>
    <row r="266" spans="1:2">
      <c r="A266" s="3">
        <v>43465</v>
      </c>
      <c r="B266" s="12">
        <v>1428233.2050000001</v>
      </c>
    </row>
    <row r="267" spans="1:2">
      <c r="A267" s="2">
        <v>43496</v>
      </c>
      <c r="B267" s="13">
        <v>1410808.436</v>
      </c>
    </row>
    <row r="268" spans="1:2">
      <c r="A268" s="3">
        <v>43524</v>
      </c>
      <c r="B268" s="12">
        <v>1430989.398</v>
      </c>
    </row>
    <row r="269" spans="1:2">
      <c r="A269" s="2">
        <v>43555</v>
      </c>
      <c r="B269" s="13">
        <v>1442834.344</v>
      </c>
    </row>
    <row r="270" spans="1:2">
      <c r="A270" s="3">
        <v>43585</v>
      </c>
      <c r="B270" s="12">
        <v>1453094.8389999999</v>
      </c>
    </row>
    <row r="271" spans="1:2">
      <c r="A271" s="2">
        <v>43616</v>
      </c>
      <c r="B271" s="13">
        <v>1467430.9169999999</v>
      </c>
    </row>
    <row r="272" spans="1:2">
      <c r="A272" s="3">
        <v>43646</v>
      </c>
      <c r="B272" s="12">
        <v>1465475.351</v>
      </c>
    </row>
    <row r="273" spans="1:2">
      <c r="A273" s="2">
        <v>43677</v>
      </c>
      <c r="B273" s="13">
        <v>1476692.523</v>
      </c>
    </row>
    <row r="274" spans="1:2">
      <c r="A274" s="3">
        <v>43708</v>
      </c>
      <c r="B274" s="12">
        <v>1488482.189</v>
      </c>
    </row>
    <row r="275" spans="1:2">
      <c r="A275" s="2">
        <v>43738</v>
      </c>
      <c r="B275" s="13">
        <v>1495863.7849999999</v>
      </c>
    </row>
    <row r="276" spans="1:2">
      <c r="A276" s="3">
        <v>43769</v>
      </c>
      <c r="B276" s="12">
        <v>1511907.37</v>
      </c>
    </row>
    <row r="277" spans="1:2">
      <c r="A277" s="2">
        <v>43799</v>
      </c>
      <c r="B277" s="13">
        <v>1530381.4369999999</v>
      </c>
    </row>
    <row r="278" spans="1:2">
      <c r="A278" s="3">
        <v>43830</v>
      </c>
      <c r="B278" s="12">
        <v>1552647.8929999999</v>
      </c>
    </row>
    <row r="279" spans="1:2">
      <c r="A279" s="2">
        <v>43861</v>
      </c>
      <c r="B279" s="13">
        <v>1546994.5279999999</v>
      </c>
    </row>
    <row r="280" spans="1:2">
      <c r="A280" s="3">
        <v>43890</v>
      </c>
      <c r="B280" s="12">
        <v>1569329.13</v>
      </c>
    </row>
    <row r="281" spans="1:2">
      <c r="A281" s="2">
        <v>43921</v>
      </c>
      <c r="B281" s="13">
        <v>1617386.2660000001</v>
      </c>
    </row>
    <row r="282" spans="1:2">
      <c r="A282" s="3">
        <v>43951</v>
      </c>
      <c r="B282" s="12">
        <v>1666812.29</v>
      </c>
    </row>
    <row r="283" spans="1:2">
      <c r="A283" s="2">
        <v>43982</v>
      </c>
      <c r="B283" s="13">
        <v>1712512.395</v>
      </c>
    </row>
    <row r="284" spans="1:2">
      <c r="A284" s="3">
        <v>44012</v>
      </c>
      <c r="B284" s="12">
        <v>1739330.112</v>
      </c>
    </row>
    <row r="285" spans="1:2">
      <c r="A285" s="2">
        <v>44043</v>
      </c>
      <c r="B285" s="13">
        <v>1733221.1470000001</v>
      </c>
    </row>
    <row r="286" spans="1:2">
      <c r="A286" s="3">
        <v>44074</v>
      </c>
      <c r="B286" s="12">
        <v>1736424.1850000001</v>
      </c>
    </row>
    <row r="287" spans="1:2">
      <c r="A287" s="2">
        <v>44104</v>
      </c>
      <c r="B287" s="13">
        <v>1754840.9920000001</v>
      </c>
    </row>
    <row r="288" spans="1:2">
      <c r="A288" s="3">
        <v>44135</v>
      </c>
      <c r="B288" s="12">
        <v>1775038.7420000001</v>
      </c>
    </row>
    <row r="289" spans="1:2">
      <c r="A289" s="2">
        <v>44165</v>
      </c>
      <c r="B289" s="13">
        <v>1783814.551</v>
      </c>
    </row>
    <row r="290" spans="1:2">
      <c r="A290" s="3">
        <v>44196</v>
      </c>
      <c r="B290" s="12">
        <v>1814748.8729999999</v>
      </c>
    </row>
    <row r="291" spans="1:2">
      <c r="A291" s="2">
        <v>44227</v>
      </c>
      <c r="B291" s="13">
        <v>1812420.6359999999</v>
      </c>
    </row>
    <row r="292" spans="1:2">
      <c r="A292" s="3">
        <v>44255</v>
      </c>
      <c r="B292" s="12">
        <v>1829434.6029999999</v>
      </c>
    </row>
    <row r="293" spans="1:2">
      <c r="A293" s="2">
        <v>44286</v>
      </c>
      <c r="B293" s="13">
        <v>1856144.7290000001</v>
      </c>
    </row>
    <row r="294" spans="1:2">
      <c r="A294" s="3">
        <v>44316</v>
      </c>
      <c r="B294" s="12">
        <v>1854364.1070000001</v>
      </c>
    </row>
    <row r="295" spans="1:2">
      <c r="A295" s="2">
        <v>44347</v>
      </c>
      <c r="B295" s="13">
        <v>1866430.196</v>
      </c>
    </row>
    <row r="296" spans="1:2">
      <c r="A296" s="3">
        <v>44377</v>
      </c>
      <c r="B296" s="12">
        <v>1869644.469</v>
      </c>
    </row>
    <row r="297" spans="1:2">
      <c r="A297" s="2">
        <v>44408</v>
      </c>
      <c r="B297" s="13">
        <v>1887486.247</v>
      </c>
    </row>
    <row r="298" spans="1:2">
      <c r="A298" s="3">
        <v>44439</v>
      </c>
      <c r="B298" s="12">
        <v>1895077.4180000001</v>
      </c>
    </row>
    <row r="299" spans="1:2">
      <c r="A299" s="2">
        <v>44469</v>
      </c>
      <c r="B299" s="13">
        <v>1907960.1839999999</v>
      </c>
    </row>
    <row r="300" spans="1:2">
      <c r="A300" s="3">
        <v>44500</v>
      </c>
      <c r="B300" s="12">
        <v>1930050.8570000001</v>
      </c>
    </row>
    <row r="301" spans="1:2">
      <c r="A301" s="2">
        <v>44530</v>
      </c>
      <c r="B301" s="13">
        <v>1963239.8810000001</v>
      </c>
    </row>
    <row r="302" spans="1:2">
      <c r="A302" s="3">
        <v>44561</v>
      </c>
      <c r="B302" s="12">
        <v>1974496.76</v>
      </c>
    </row>
    <row r="303" spans="1:2">
      <c r="A303" s="2">
        <v>44592</v>
      </c>
      <c r="B303" s="13">
        <v>1952015.699</v>
      </c>
    </row>
    <row r="304" spans="1:2">
      <c r="A304" s="3">
        <v>44620</v>
      </c>
      <c r="B304" s="12">
        <v>1975493.3</v>
      </c>
    </row>
    <row r="305" spans="1:2">
      <c r="A305" s="2">
        <v>44651</v>
      </c>
      <c r="B305" s="13">
        <v>1999267.6969999999</v>
      </c>
    </row>
    <row r="306" spans="1:2">
      <c r="A306" s="3">
        <v>44681</v>
      </c>
      <c r="B306" s="12">
        <v>2002569.608</v>
      </c>
    </row>
    <row r="307" spans="1:2">
      <c r="A307" s="2">
        <v>44712</v>
      </c>
      <c r="B307" s="13">
        <v>2005087.7080000001</v>
      </c>
    </row>
    <row r="308" spans="1:2">
      <c r="A308" s="3">
        <v>44742</v>
      </c>
      <c r="B308" s="12">
        <v>1989231.2439999999</v>
      </c>
    </row>
    <row r="309" spans="1:2">
      <c r="A309" s="2">
        <v>44773</v>
      </c>
      <c r="B309" s="13">
        <v>2002463.392</v>
      </c>
    </row>
    <row r="310" spans="1:2">
      <c r="A310" s="3">
        <v>44804</v>
      </c>
      <c r="B310" s="12">
        <v>2033757.0049999999</v>
      </c>
    </row>
    <row r="311" spans="1:2">
      <c r="A311" s="2">
        <v>44834</v>
      </c>
      <c r="B311" s="13">
        <v>2052450.9990000001</v>
      </c>
    </row>
    <row r="312" spans="1:2">
      <c r="A312" s="3">
        <v>44865</v>
      </c>
      <c r="B312" s="12">
        <v>2057872.2080000001</v>
      </c>
    </row>
    <row r="313" spans="1:2">
      <c r="A313" s="2">
        <v>44895</v>
      </c>
      <c r="B313" s="13">
        <v>2068678.071</v>
      </c>
    </row>
    <row r="314" spans="1:2">
      <c r="A314" s="3">
        <v>44926</v>
      </c>
      <c r="B314" s="12">
        <v>2078248.3840000001</v>
      </c>
    </row>
    <row r="315" spans="1:2">
      <c r="A315" s="2">
        <v>44957</v>
      </c>
      <c r="B315" s="13">
        <v>2082183.969</v>
      </c>
    </row>
    <row r="316" spans="1:2">
      <c r="A316" s="3">
        <v>44985</v>
      </c>
      <c r="B316" s="12">
        <v>2118202.3119999999</v>
      </c>
    </row>
    <row r="317" spans="1:2">
      <c r="A317" s="2">
        <v>45016</v>
      </c>
      <c r="B317" s="13">
        <v>2121975.673</v>
      </c>
    </row>
    <row r="318" spans="1:2">
      <c r="A318" s="3">
        <v>45046</v>
      </c>
      <c r="B318" s="12">
        <v>2135028.3489999999</v>
      </c>
    </row>
    <row r="319" spans="1:2">
      <c r="A319" s="2">
        <v>45077</v>
      </c>
      <c r="B319" s="13">
        <v>2140971.7400000002</v>
      </c>
    </row>
    <row r="320" spans="1:2">
      <c r="A320" s="3">
        <v>45107</v>
      </c>
      <c r="B320" s="12">
        <v>2139841.7370000002</v>
      </c>
    </row>
    <row r="321" spans="1:2">
      <c r="A321" s="2">
        <v>45138</v>
      </c>
      <c r="B321" s="13">
        <v>2158437.3829999999</v>
      </c>
    </row>
    <row r="322" spans="1:2">
      <c r="A322" s="3">
        <v>45169</v>
      </c>
      <c r="B322" s="12">
        <v>2182060.9789999998</v>
      </c>
    </row>
    <row r="323" spans="1:2">
      <c r="A323" s="2">
        <v>45199</v>
      </c>
      <c r="B323" s="13">
        <v>2225679.5649999999</v>
      </c>
    </row>
    <row r="324" spans="1:2">
      <c r="A324" s="3">
        <v>45230</v>
      </c>
      <c r="B324" s="12">
        <v>2230677.9840000002</v>
      </c>
    </row>
    <row r="325" spans="1:2">
      <c r="A325" s="2">
        <v>45260</v>
      </c>
      <c r="B325" s="13">
        <v>2230480.534</v>
      </c>
    </row>
    <row r="326" spans="1:2">
      <c r="A326" s="3">
        <v>45291</v>
      </c>
      <c r="B326" s="12">
        <v>2259219.7179999999</v>
      </c>
    </row>
    <row r="327" spans="1:2">
      <c r="A327" s="2">
        <v>45322</v>
      </c>
      <c r="B327" s="13">
        <v>2244540.273</v>
      </c>
    </row>
    <row r="328" spans="1:2">
      <c r="A328" s="3">
        <v>45351</v>
      </c>
      <c r="B328" s="12">
        <v>2274666.622</v>
      </c>
    </row>
    <row r="329" spans="1:2">
      <c r="A329" s="2">
        <v>45382</v>
      </c>
      <c r="B329" s="13">
        <v>2267662.247</v>
      </c>
    </row>
    <row r="330" spans="1:2">
      <c r="A330" s="3">
        <v>45412</v>
      </c>
      <c r="B330" s="12">
        <v>2294168.577</v>
      </c>
    </row>
    <row r="331" spans="1:2">
      <c r="A331" s="2">
        <v>45443</v>
      </c>
      <c r="B331" s="13">
        <v>2317535.963</v>
      </c>
    </row>
    <row r="332" spans="1:2">
      <c r="A332" s="3">
        <v>45473</v>
      </c>
      <c r="B332" s="12">
        <v>2322127.486</v>
      </c>
    </row>
    <row r="333" spans="1:2">
      <c r="A333" s="2">
        <v>45504</v>
      </c>
      <c r="B333" s="13">
        <v>2340828.9040000001</v>
      </c>
    </row>
    <row r="334" spans="1:2">
      <c r="A334" s="3">
        <v>45535</v>
      </c>
      <c r="B334" s="12">
        <v>2350131.7940000002</v>
      </c>
    </row>
    <row r="335" spans="1:2">
      <c r="A335" s="2">
        <v>45565</v>
      </c>
      <c r="B335" s="13">
        <v>2363913.2400000002</v>
      </c>
    </row>
    <row r="336" spans="1:2">
      <c r="A336" s="3">
        <v>45596</v>
      </c>
      <c r="B336" s="12">
        <v>2400674.2949999999</v>
      </c>
    </row>
    <row r="337" spans="1:2">
      <c r="A337" s="2">
        <v>45626</v>
      </c>
      <c r="B337" s="13">
        <v>2419212.1570000001</v>
      </c>
    </row>
    <row r="338" spans="1:2">
      <c r="A338" s="3">
        <v>45657</v>
      </c>
      <c r="B338" s="12">
        <v>2469096.3909999998</v>
      </c>
    </row>
    <row r="339" spans="1:2">
      <c r="A339" s="2">
        <v>45688</v>
      </c>
      <c r="B339" s="13">
        <v>2458763.9700000002</v>
      </c>
    </row>
    <row r="340" spans="1:2">
      <c r="A340" s="3">
        <v>45716</v>
      </c>
      <c r="B340" s="12">
        <v>2486611.0419999999</v>
      </c>
    </row>
    <row r="341" spans="1:2">
      <c r="A341" s="2">
        <v>45747</v>
      </c>
      <c r="B341" s="13">
        <v>2504139.7000000002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F3A24-7F2E-43E0-81F6-35F2E628527F}">
  <dimension ref="A1:D244"/>
  <sheetViews>
    <sheetView workbookViewId="0">
      <selection activeCell="H252" sqref="H252"/>
    </sheetView>
  </sheetViews>
  <sheetFormatPr defaultRowHeight="15"/>
  <cols>
    <col min="1" max="1" width="10.140625" bestFit="1" customWidth="1"/>
  </cols>
  <sheetData>
    <row r="1" spans="1:4">
      <c r="A1" t="s">
        <v>0</v>
      </c>
      <c r="B1" t="s">
        <v>789</v>
      </c>
      <c r="C1" t="s">
        <v>789</v>
      </c>
    </row>
    <row r="2" spans="1:4">
      <c r="A2" s="2">
        <v>38383</v>
      </c>
      <c r="B2">
        <v>100</v>
      </c>
      <c r="C2" s="6">
        <f>B2*1</f>
        <v>100</v>
      </c>
      <c r="D2" s="6">
        <f>C2-100</f>
        <v>0</v>
      </c>
    </row>
    <row r="3" spans="1:4">
      <c r="A3" s="3">
        <v>38411</v>
      </c>
      <c r="B3" s="4" t="s">
        <v>628</v>
      </c>
      <c r="C3" s="6">
        <f t="shared" ref="C3:C66" si="0">B3*1</f>
        <v>100</v>
      </c>
      <c r="D3" s="6">
        <f t="shared" ref="D3:D66" si="1">C3-100</f>
        <v>0</v>
      </c>
    </row>
    <row r="4" spans="1:4">
      <c r="A4" s="2">
        <v>38442</v>
      </c>
      <c r="B4" s="4" t="s">
        <v>629</v>
      </c>
      <c r="C4" s="6">
        <f t="shared" si="0"/>
        <v>109.5</v>
      </c>
      <c r="D4" s="6">
        <f t="shared" si="1"/>
        <v>9.5</v>
      </c>
    </row>
    <row r="5" spans="1:4">
      <c r="A5" s="3">
        <v>38472</v>
      </c>
      <c r="B5" s="4" t="s">
        <v>630</v>
      </c>
      <c r="C5" s="6">
        <f t="shared" si="0"/>
        <v>99.1</v>
      </c>
      <c r="D5" s="6">
        <f t="shared" si="1"/>
        <v>-0.90000000000000568</v>
      </c>
    </row>
    <row r="6" spans="1:4">
      <c r="A6" s="2">
        <v>38503</v>
      </c>
      <c r="B6" s="4" t="s">
        <v>631</v>
      </c>
      <c r="C6" s="6">
        <f t="shared" si="0"/>
        <v>95.1</v>
      </c>
      <c r="D6" s="6">
        <f t="shared" si="1"/>
        <v>-4.9000000000000057</v>
      </c>
    </row>
    <row r="7" spans="1:4">
      <c r="A7" s="3">
        <v>38533</v>
      </c>
      <c r="B7" s="4" t="s">
        <v>632</v>
      </c>
      <c r="C7" s="6">
        <f t="shared" si="0"/>
        <v>108.7</v>
      </c>
      <c r="D7" s="6">
        <f t="shared" si="1"/>
        <v>8.7000000000000028</v>
      </c>
    </row>
    <row r="8" spans="1:4">
      <c r="A8" s="2">
        <v>38564</v>
      </c>
      <c r="B8" s="4" t="s">
        <v>633</v>
      </c>
      <c r="C8" s="6">
        <f t="shared" si="0"/>
        <v>92.3</v>
      </c>
      <c r="D8" s="6">
        <f t="shared" si="1"/>
        <v>-7.7000000000000028</v>
      </c>
    </row>
    <row r="9" spans="1:4">
      <c r="A9" s="3">
        <v>38595</v>
      </c>
      <c r="B9" s="4" t="s">
        <v>634</v>
      </c>
      <c r="C9" s="6">
        <f t="shared" si="0"/>
        <v>104.1</v>
      </c>
      <c r="D9" s="6">
        <f t="shared" si="1"/>
        <v>4.0999999999999943</v>
      </c>
    </row>
    <row r="10" spans="1:4">
      <c r="A10" s="2">
        <v>38625</v>
      </c>
      <c r="B10" s="4" t="s">
        <v>635</v>
      </c>
      <c r="C10" s="6">
        <f t="shared" si="0"/>
        <v>109.9</v>
      </c>
      <c r="D10" s="6">
        <f t="shared" si="1"/>
        <v>9.9000000000000057</v>
      </c>
    </row>
    <row r="11" spans="1:4">
      <c r="A11" s="3">
        <v>38656</v>
      </c>
      <c r="B11" s="4" t="s">
        <v>636</v>
      </c>
      <c r="C11" s="6">
        <f t="shared" si="0"/>
        <v>101.8</v>
      </c>
      <c r="D11" s="6">
        <f t="shared" si="1"/>
        <v>1.7999999999999972</v>
      </c>
    </row>
    <row r="12" spans="1:4">
      <c r="A12" s="2">
        <v>38686</v>
      </c>
      <c r="B12" s="4" t="s">
        <v>628</v>
      </c>
      <c r="C12" s="6">
        <f t="shared" si="0"/>
        <v>100</v>
      </c>
      <c r="D12" s="6">
        <f t="shared" si="1"/>
        <v>0</v>
      </c>
    </row>
    <row r="13" spans="1:4">
      <c r="A13" s="3">
        <v>38717</v>
      </c>
      <c r="B13" s="4" t="s">
        <v>637</v>
      </c>
      <c r="C13" s="6">
        <f t="shared" si="0"/>
        <v>98.2</v>
      </c>
      <c r="D13" s="6">
        <f t="shared" si="1"/>
        <v>-1.7999999999999972</v>
      </c>
    </row>
    <row r="14" spans="1:4">
      <c r="A14" s="2">
        <v>38748</v>
      </c>
      <c r="B14" s="4" t="s">
        <v>638</v>
      </c>
      <c r="C14" s="6">
        <f t="shared" si="0"/>
        <v>93.2</v>
      </c>
      <c r="D14" s="6">
        <f t="shared" si="1"/>
        <v>-6.7999999999999972</v>
      </c>
    </row>
    <row r="15" spans="1:4">
      <c r="A15" s="3">
        <v>38776</v>
      </c>
      <c r="B15" s="4" t="s">
        <v>639</v>
      </c>
      <c r="C15" s="6">
        <f t="shared" si="0"/>
        <v>99.6</v>
      </c>
      <c r="D15" s="6">
        <f t="shared" si="1"/>
        <v>-0.40000000000000568</v>
      </c>
    </row>
    <row r="16" spans="1:4">
      <c r="A16" s="2">
        <v>38807</v>
      </c>
      <c r="B16" s="4" t="s">
        <v>640</v>
      </c>
      <c r="C16" s="6">
        <f t="shared" si="0"/>
        <v>115.9</v>
      </c>
      <c r="D16" s="6">
        <f t="shared" si="1"/>
        <v>15.900000000000006</v>
      </c>
    </row>
    <row r="17" spans="1:4">
      <c r="A17" s="3">
        <v>38837</v>
      </c>
      <c r="B17" s="4" t="s">
        <v>641</v>
      </c>
      <c r="C17" s="6">
        <f t="shared" si="0"/>
        <v>90.3</v>
      </c>
      <c r="D17" s="6">
        <f t="shared" si="1"/>
        <v>-9.7000000000000028</v>
      </c>
    </row>
    <row r="18" spans="1:4">
      <c r="A18" s="2">
        <v>38868</v>
      </c>
      <c r="B18" s="4" t="s">
        <v>642</v>
      </c>
      <c r="C18" s="6">
        <f t="shared" si="0"/>
        <v>106.6</v>
      </c>
      <c r="D18" s="6">
        <f t="shared" si="1"/>
        <v>6.5999999999999943</v>
      </c>
    </row>
    <row r="19" spans="1:4">
      <c r="A19" s="3">
        <v>38898</v>
      </c>
      <c r="B19" s="4" t="s">
        <v>643</v>
      </c>
      <c r="C19" s="6">
        <f t="shared" si="0"/>
        <v>102.5</v>
      </c>
      <c r="D19" s="6">
        <f t="shared" si="1"/>
        <v>2.5</v>
      </c>
    </row>
    <row r="20" spans="1:4">
      <c r="A20" s="2">
        <v>38929</v>
      </c>
      <c r="B20" s="4" t="s">
        <v>644</v>
      </c>
      <c r="C20" s="6">
        <f t="shared" si="0"/>
        <v>94.6</v>
      </c>
      <c r="D20" s="6">
        <f t="shared" si="1"/>
        <v>-5.4000000000000057</v>
      </c>
    </row>
    <row r="21" spans="1:4">
      <c r="A21" s="3">
        <v>38960</v>
      </c>
      <c r="B21" s="4" t="s">
        <v>645</v>
      </c>
      <c r="C21" s="6">
        <f t="shared" si="0"/>
        <v>102.1</v>
      </c>
      <c r="D21" s="6">
        <f t="shared" si="1"/>
        <v>2.0999999999999943</v>
      </c>
    </row>
    <row r="22" spans="1:4">
      <c r="A22" s="2">
        <v>38990</v>
      </c>
      <c r="B22" s="4" t="s">
        <v>646</v>
      </c>
      <c r="C22" s="6">
        <f t="shared" si="0"/>
        <v>108.6</v>
      </c>
      <c r="D22" s="6">
        <f t="shared" si="1"/>
        <v>8.5999999999999943</v>
      </c>
    </row>
    <row r="23" spans="1:4">
      <c r="A23" s="3">
        <v>39021</v>
      </c>
      <c r="B23" s="4" t="s">
        <v>647</v>
      </c>
      <c r="C23" s="6">
        <f t="shared" si="0"/>
        <v>104.3</v>
      </c>
      <c r="D23" s="6">
        <f t="shared" si="1"/>
        <v>4.2999999999999972</v>
      </c>
    </row>
    <row r="24" spans="1:4">
      <c r="A24" s="2">
        <v>39051</v>
      </c>
      <c r="B24" s="4" t="s">
        <v>648</v>
      </c>
      <c r="C24" s="6">
        <f t="shared" si="0"/>
        <v>97.5</v>
      </c>
      <c r="D24" s="6">
        <f t="shared" si="1"/>
        <v>-2.5</v>
      </c>
    </row>
    <row r="25" spans="1:4">
      <c r="A25" s="3">
        <v>39082</v>
      </c>
      <c r="B25" s="4" t="s">
        <v>649</v>
      </c>
      <c r="C25" s="6">
        <f t="shared" si="0"/>
        <v>94.1</v>
      </c>
      <c r="D25" s="6">
        <f t="shared" si="1"/>
        <v>-5.9000000000000057</v>
      </c>
    </row>
    <row r="26" spans="1:4">
      <c r="A26" s="2">
        <v>39113</v>
      </c>
      <c r="B26" s="4" t="s">
        <v>650</v>
      </c>
      <c r="C26" s="6">
        <f t="shared" si="0"/>
        <v>99.9</v>
      </c>
      <c r="D26" s="6">
        <f t="shared" si="1"/>
        <v>-9.9999999999994316E-2</v>
      </c>
    </row>
    <row r="27" spans="1:4">
      <c r="A27" s="3">
        <v>39141</v>
      </c>
      <c r="B27" s="4" t="s">
        <v>651</v>
      </c>
      <c r="C27" s="6">
        <f t="shared" si="0"/>
        <v>97.8</v>
      </c>
      <c r="D27" s="6">
        <f t="shared" si="1"/>
        <v>-2.2000000000000028</v>
      </c>
    </row>
    <row r="28" spans="1:4">
      <c r="A28" s="2">
        <v>39172</v>
      </c>
      <c r="B28" s="4" t="s">
        <v>652</v>
      </c>
      <c r="C28" s="6">
        <f t="shared" si="0"/>
        <v>114.6</v>
      </c>
      <c r="D28" s="6">
        <f t="shared" si="1"/>
        <v>14.599999999999994</v>
      </c>
    </row>
    <row r="29" spans="1:4">
      <c r="A29" s="3">
        <v>39202</v>
      </c>
      <c r="B29" s="4" t="s">
        <v>653</v>
      </c>
      <c r="C29" s="6">
        <f t="shared" si="0"/>
        <v>91.7</v>
      </c>
      <c r="D29" s="6">
        <f t="shared" si="1"/>
        <v>-8.2999999999999972</v>
      </c>
    </row>
    <row r="30" spans="1:4">
      <c r="A30" s="2">
        <v>39233</v>
      </c>
      <c r="B30" s="4" t="s">
        <v>654</v>
      </c>
      <c r="C30" s="6">
        <f t="shared" si="0"/>
        <v>102.6</v>
      </c>
      <c r="D30" s="6">
        <f t="shared" si="1"/>
        <v>2.5999999999999943</v>
      </c>
    </row>
    <row r="31" spans="1:4">
      <c r="A31" s="3">
        <v>39263</v>
      </c>
      <c r="B31" s="4" t="s">
        <v>655</v>
      </c>
      <c r="C31" s="6">
        <f t="shared" si="0"/>
        <v>100.1</v>
      </c>
      <c r="D31" s="6">
        <f t="shared" si="1"/>
        <v>9.9999999999994316E-2</v>
      </c>
    </row>
    <row r="32" spans="1:4">
      <c r="A32" s="2">
        <v>39294</v>
      </c>
      <c r="B32" s="4" t="s">
        <v>656</v>
      </c>
      <c r="C32" s="6">
        <f t="shared" si="0"/>
        <v>98.9</v>
      </c>
      <c r="D32" s="6">
        <f t="shared" si="1"/>
        <v>-1.0999999999999943</v>
      </c>
    </row>
    <row r="33" spans="1:4">
      <c r="A33" s="3">
        <v>39325</v>
      </c>
      <c r="B33" s="4" t="s">
        <v>655</v>
      </c>
      <c r="C33" s="6">
        <f t="shared" si="0"/>
        <v>100.1</v>
      </c>
      <c r="D33" s="6">
        <f t="shared" si="1"/>
        <v>9.9999999999994316E-2</v>
      </c>
    </row>
    <row r="34" spans="1:4">
      <c r="A34" s="2">
        <v>39355</v>
      </c>
      <c r="B34" s="4" t="s">
        <v>657</v>
      </c>
      <c r="C34" s="6">
        <f t="shared" si="0"/>
        <v>105.6</v>
      </c>
      <c r="D34" s="6">
        <f t="shared" si="1"/>
        <v>5.5999999999999943</v>
      </c>
    </row>
    <row r="35" spans="1:4">
      <c r="A35" s="3">
        <v>39386</v>
      </c>
      <c r="B35" s="4" t="s">
        <v>658</v>
      </c>
      <c r="C35" s="6">
        <f t="shared" si="0"/>
        <v>109.7</v>
      </c>
      <c r="D35" s="6">
        <f t="shared" si="1"/>
        <v>9.7000000000000028</v>
      </c>
    </row>
    <row r="36" spans="1:4">
      <c r="A36" s="2">
        <v>39416</v>
      </c>
      <c r="B36" s="4" t="s">
        <v>659</v>
      </c>
      <c r="C36" s="6">
        <f t="shared" si="0"/>
        <v>95.3</v>
      </c>
      <c r="D36" s="6">
        <f t="shared" si="1"/>
        <v>-4.7000000000000028</v>
      </c>
    </row>
    <row r="37" spans="1:4">
      <c r="A37" s="3">
        <v>39447</v>
      </c>
      <c r="B37" s="4" t="s">
        <v>653</v>
      </c>
      <c r="C37" s="6">
        <f t="shared" si="0"/>
        <v>91.7</v>
      </c>
      <c r="D37" s="6">
        <f t="shared" si="1"/>
        <v>-8.2999999999999972</v>
      </c>
    </row>
    <row r="38" spans="1:4">
      <c r="A38" s="2">
        <v>39478</v>
      </c>
      <c r="B38" s="4" t="s">
        <v>660</v>
      </c>
      <c r="C38" s="6">
        <f t="shared" si="0"/>
        <v>104.4</v>
      </c>
      <c r="D38" s="6">
        <f t="shared" si="1"/>
        <v>4.4000000000000057</v>
      </c>
    </row>
    <row r="39" spans="1:4">
      <c r="A39" s="3">
        <v>39507</v>
      </c>
      <c r="B39" s="4" t="s">
        <v>661</v>
      </c>
      <c r="C39" s="6">
        <f t="shared" si="0"/>
        <v>101.5</v>
      </c>
      <c r="D39" s="6">
        <f t="shared" si="1"/>
        <v>1.5</v>
      </c>
    </row>
    <row r="40" spans="1:4">
      <c r="A40" s="2">
        <v>39538</v>
      </c>
      <c r="B40" s="4" t="s">
        <v>662</v>
      </c>
      <c r="C40" s="6">
        <f t="shared" si="0"/>
        <v>100.7</v>
      </c>
      <c r="D40" s="6">
        <f t="shared" si="1"/>
        <v>0.70000000000000284</v>
      </c>
    </row>
    <row r="41" spans="1:4">
      <c r="A41" s="3">
        <v>39568</v>
      </c>
      <c r="B41" s="4" t="s">
        <v>634</v>
      </c>
      <c r="C41" s="6">
        <f t="shared" si="0"/>
        <v>104.1</v>
      </c>
      <c r="D41" s="6">
        <f t="shared" si="1"/>
        <v>4.0999999999999943</v>
      </c>
    </row>
    <row r="42" spans="1:4">
      <c r="A42" s="2">
        <v>39599</v>
      </c>
      <c r="B42" s="4" t="s">
        <v>663</v>
      </c>
      <c r="C42" s="6">
        <f t="shared" si="0"/>
        <v>90.9</v>
      </c>
      <c r="D42" s="6">
        <f t="shared" si="1"/>
        <v>-9.0999999999999943</v>
      </c>
    </row>
    <row r="43" spans="1:4">
      <c r="A43" s="3">
        <v>39629</v>
      </c>
      <c r="B43" s="4" t="s">
        <v>664</v>
      </c>
      <c r="C43" s="6">
        <f t="shared" si="0"/>
        <v>105.2</v>
      </c>
      <c r="D43" s="6">
        <f t="shared" si="1"/>
        <v>5.2000000000000028</v>
      </c>
    </row>
    <row r="44" spans="1:4">
      <c r="A44" s="2">
        <v>39660</v>
      </c>
      <c r="B44" s="4" t="s">
        <v>665</v>
      </c>
      <c r="C44" s="6">
        <f t="shared" si="0"/>
        <v>97.3</v>
      </c>
      <c r="D44" s="6">
        <f t="shared" si="1"/>
        <v>-2.7000000000000028</v>
      </c>
    </row>
    <row r="45" spans="1:4">
      <c r="A45" s="3">
        <v>39691</v>
      </c>
      <c r="B45" s="4" t="s">
        <v>666</v>
      </c>
      <c r="C45" s="6">
        <f t="shared" si="0"/>
        <v>91.2</v>
      </c>
      <c r="D45" s="6">
        <f t="shared" si="1"/>
        <v>-8.7999999999999972</v>
      </c>
    </row>
    <row r="46" spans="1:4">
      <c r="A46" s="2">
        <v>39721</v>
      </c>
      <c r="B46" s="4" t="s">
        <v>667</v>
      </c>
      <c r="C46" s="6">
        <f t="shared" si="0"/>
        <v>116.6</v>
      </c>
      <c r="D46" s="6">
        <f t="shared" si="1"/>
        <v>16.599999999999994</v>
      </c>
    </row>
    <row r="47" spans="1:4">
      <c r="A47" s="3">
        <v>39752</v>
      </c>
      <c r="B47" s="4" t="s">
        <v>668</v>
      </c>
      <c r="C47" s="6">
        <f t="shared" si="0"/>
        <v>101.9</v>
      </c>
      <c r="D47" s="6">
        <f t="shared" si="1"/>
        <v>1.9000000000000057</v>
      </c>
    </row>
    <row r="48" spans="1:4">
      <c r="A48" s="2">
        <v>39782</v>
      </c>
      <c r="B48" s="4" t="s">
        <v>669</v>
      </c>
      <c r="C48" s="6">
        <f t="shared" si="0"/>
        <v>86.9</v>
      </c>
      <c r="D48" s="6">
        <f t="shared" si="1"/>
        <v>-13.099999999999994</v>
      </c>
    </row>
    <row r="49" spans="1:4">
      <c r="A49" s="3">
        <v>39813</v>
      </c>
      <c r="B49" s="4" t="s">
        <v>670</v>
      </c>
      <c r="C49" s="6">
        <f t="shared" si="0"/>
        <v>96.9</v>
      </c>
      <c r="D49" s="6">
        <f t="shared" si="1"/>
        <v>-3.0999999999999943</v>
      </c>
    </row>
    <row r="50" spans="1:4">
      <c r="A50" s="2">
        <v>39844</v>
      </c>
      <c r="B50" s="4" t="s">
        <v>671</v>
      </c>
      <c r="C50" s="6">
        <f t="shared" si="0"/>
        <v>93.7</v>
      </c>
      <c r="D50" s="6">
        <f t="shared" si="1"/>
        <v>-6.2999999999999972</v>
      </c>
    </row>
    <row r="51" spans="1:4">
      <c r="A51" s="3">
        <v>39872</v>
      </c>
      <c r="B51" s="4" t="s">
        <v>672</v>
      </c>
      <c r="C51" s="6">
        <f t="shared" si="0"/>
        <v>102.4</v>
      </c>
      <c r="D51" s="6">
        <f t="shared" si="1"/>
        <v>2.4000000000000057</v>
      </c>
    </row>
    <row r="52" spans="1:4">
      <c r="A52" s="2">
        <v>39903</v>
      </c>
      <c r="B52" s="4" t="s">
        <v>673</v>
      </c>
      <c r="C52" s="6">
        <f t="shared" si="0"/>
        <v>115.6</v>
      </c>
      <c r="D52" s="6">
        <f t="shared" si="1"/>
        <v>15.599999999999994</v>
      </c>
    </row>
    <row r="53" spans="1:4">
      <c r="A53" s="3">
        <v>39933</v>
      </c>
      <c r="B53" s="4" t="s">
        <v>674</v>
      </c>
      <c r="C53" s="6">
        <f t="shared" si="0"/>
        <v>93.1</v>
      </c>
      <c r="D53" s="6">
        <f t="shared" si="1"/>
        <v>-6.9000000000000057</v>
      </c>
    </row>
    <row r="54" spans="1:4">
      <c r="A54" s="2">
        <v>39964</v>
      </c>
      <c r="B54" s="4" t="s">
        <v>637</v>
      </c>
      <c r="C54" s="6">
        <f t="shared" si="0"/>
        <v>98.2</v>
      </c>
      <c r="D54" s="6">
        <f t="shared" si="1"/>
        <v>-1.7999999999999972</v>
      </c>
    </row>
    <row r="55" spans="1:4">
      <c r="A55" s="3">
        <v>39994</v>
      </c>
      <c r="B55" s="4" t="s">
        <v>675</v>
      </c>
      <c r="C55" s="6">
        <f t="shared" si="0"/>
        <v>106</v>
      </c>
      <c r="D55" s="6">
        <f t="shared" si="1"/>
        <v>6</v>
      </c>
    </row>
    <row r="56" spans="1:4">
      <c r="A56" s="2">
        <v>40025</v>
      </c>
      <c r="B56" s="4" t="s">
        <v>676</v>
      </c>
      <c r="C56" s="6">
        <f t="shared" si="0"/>
        <v>97.4</v>
      </c>
      <c r="D56" s="6">
        <f t="shared" si="1"/>
        <v>-2.5999999999999943</v>
      </c>
    </row>
    <row r="57" spans="1:4">
      <c r="A57" s="3">
        <v>40056</v>
      </c>
      <c r="B57" s="4" t="s">
        <v>677</v>
      </c>
      <c r="C57" s="6">
        <f t="shared" si="0"/>
        <v>95.6</v>
      </c>
      <c r="D57" s="6">
        <f t="shared" si="1"/>
        <v>-4.4000000000000057</v>
      </c>
    </row>
    <row r="58" spans="1:4">
      <c r="A58" s="2">
        <v>40086</v>
      </c>
      <c r="B58" s="4" t="s">
        <v>678</v>
      </c>
      <c r="C58" s="6">
        <f t="shared" si="0"/>
        <v>115</v>
      </c>
      <c r="D58" s="6">
        <f t="shared" si="1"/>
        <v>15</v>
      </c>
    </row>
    <row r="59" spans="1:4">
      <c r="A59" s="3">
        <v>40117</v>
      </c>
      <c r="B59" s="4" t="s">
        <v>668</v>
      </c>
      <c r="C59" s="6">
        <f t="shared" si="0"/>
        <v>101.9</v>
      </c>
      <c r="D59" s="6">
        <f t="shared" si="1"/>
        <v>1.9000000000000057</v>
      </c>
    </row>
    <row r="60" spans="1:4">
      <c r="A60" s="2">
        <v>40147</v>
      </c>
      <c r="B60" s="4" t="s">
        <v>679</v>
      </c>
      <c r="C60" s="6">
        <f t="shared" si="0"/>
        <v>96.8</v>
      </c>
      <c r="D60" s="6">
        <f t="shared" si="1"/>
        <v>-3.2000000000000028</v>
      </c>
    </row>
    <row r="61" spans="1:4">
      <c r="A61" s="3">
        <v>40178</v>
      </c>
      <c r="B61" s="4" t="s">
        <v>644</v>
      </c>
      <c r="C61" s="6">
        <f t="shared" si="0"/>
        <v>94.6</v>
      </c>
      <c r="D61" s="6">
        <f t="shared" si="1"/>
        <v>-5.4000000000000057</v>
      </c>
    </row>
    <row r="62" spans="1:4">
      <c r="A62" s="2">
        <v>40209</v>
      </c>
      <c r="B62" s="4" t="s">
        <v>644</v>
      </c>
      <c r="C62" s="6">
        <f t="shared" si="0"/>
        <v>94.6</v>
      </c>
      <c r="D62" s="6">
        <f t="shared" si="1"/>
        <v>-5.4000000000000057</v>
      </c>
    </row>
    <row r="63" spans="1:4">
      <c r="A63" s="3">
        <v>40237</v>
      </c>
      <c r="B63" s="4" t="s">
        <v>680</v>
      </c>
      <c r="C63" s="6">
        <f t="shared" si="0"/>
        <v>103.1</v>
      </c>
      <c r="D63" s="6">
        <f t="shared" si="1"/>
        <v>3.0999999999999943</v>
      </c>
    </row>
    <row r="64" spans="1:4">
      <c r="A64" s="2">
        <v>40268</v>
      </c>
      <c r="B64" s="4" t="s">
        <v>681</v>
      </c>
      <c r="C64" s="6">
        <f t="shared" si="0"/>
        <v>119.1</v>
      </c>
      <c r="D64" s="6">
        <f t="shared" si="1"/>
        <v>19.099999999999994</v>
      </c>
    </row>
    <row r="65" spans="1:4">
      <c r="A65" s="3">
        <v>40298</v>
      </c>
      <c r="B65" s="4" t="s">
        <v>682</v>
      </c>
      <c r="C65" s="6">
        <f t="shared" si="0"/>
        <v>90.8</v>
      </c>
      <c r="D65" s="6">
        <f t="shared" si="1"/>
        <v>-9.2000000000000028</v>
      </c>
    </row>
    <row r="66" spans="1:4">
      <c r="A66" s="2">
        <v>40329</v>
      </c>
      <c r="B66" s="4" t="s">
        <v>683</v>
      </c>
      <c r="C66" s="6">
        <f t="shared" si="0"/>
        <v>101.6</v>
      </c>
      <c r="D66" s="6">
        <f t="shared" si="1"/>
        <v>1.5999999999999943</v>
      </c>
    </row>
    <row r="67" spans="1:4">
      <c r="A67" s="3">
        <v>40359</v>
      </c>
      <c r="B67" s="4" t="s">
        <v>684</v>
      </c>
      <c r="C67" s="6">
        <f t="shared" ref="C67:C130" si="2">B67*1</f>
        <v>106.8</v>
      </c>
      <c r="D67" s="6">
        <f t="shared" ref="D67:D130" si="3">C67-100</f>
        <v>6.7999999999999972</v>
      </c>
    </row>
    <row r="68" spans="1:4">
      <c r="A68" s="2">
        <v>40390</v>
      </c>
      <c r="B68" s="4" t="s">
        <v>649</v>
      </c>
      <c r="C68" s="6">
        <f t="shared" si="2"/>
        <v>94.1</v>
      </c>
      <c r="D68" s="6">
        <f t="shared" si="3"/>
        <v>-5.9000000000000057</v>
      </c>
    </row>
    <row r="69" spans="1:4">
      <c r="A69" s="3">
        <v>40421</v>
      </c>
      <c r="B69" s="4" t="s">
        <v>637</v>
      </c>
      <c r="C69" s="6">
        <f t="shared" si="2"/>
        <v>98.2</v>
      </c>
      <c r="D69" s="6">
        <f t="shared" si="3"/>
        <v>-1.7999999999999972</v>
      </c>
    </row>
    <row r="70" spans="1:4">
      <c r="A70" s="2">
        <v>40451</v>
      </c>
      <c r="B70" s="4" t="s">
        <v>685</v>
      </c>
      <c r="C70" s="6">
        <f t="shared" si="2"/>
        <v>113.1</v>
      </c>
      <c r="D70" s="6">
        <f t="shared" si="3"/>
        <v>13.099999999999994</v>
      </c>
    </row>
    <row r="71" spans="1:4">
      <c r="A71" s="3">
        <v>40482</v>
      </c>
      <c r="B71" s="4" t="s">
        <v>686</v>
      </c>
      <c r="C71" s="6">
        <f t="shared" si="2"/>
        <v>98.4</v>
      </c>
      <c r="D71" s="6">
        <f t="shared" si="3"/>
        <v>-1.5999999999999943</v>
      </c>
    </row>
    <row r="72" spans="1:4">
      <c r="A72" s="2">
        <v>40512</v>
      </c>
      <c r="B72" s="4" t="s">
        <v>687</v>
      </c>
      <c r="C72" s="6">
        <f t="shared" si="2"/>
        <v>98.6</v>
      </c>
      <c r="D72" s="6">
        <f t="shared" si="3"/>
        <v>-1.4000000000000057</v>
      </c>
    </row>
    <row r="73" spans="1:4">
      <c r="A73" s="3">
        <v>40543</v>
      </c>
      <c r="B73" s="4" t="s">
        <v>688</v>
      </c>
      <c r="C73" s="6">
        <f t="shared" si="2"/>
        <v>95.8</v>
      </c>
      <c r="D73" s="6">
        <f t="shared" si="3"/>
        <v>-4.2000000000000028</v>
      </c>
    </row>
    <row r="74" spans="1:4">
      <c r="A74" s="2">
        <v>40574</v>
      </c>
      <c r="B74" s="4" t="s">
        <v>689</v>
      </c>
      <c r="C74" s="6">
        <f t="shared" si="2"/>
        <v>94.3</v>
      </c>
      <c r="D74" s="6">
        <f t="shared" si="3"/>
        <v>-5.7000000000000028</v>
      </c>
    </row>
    <row r="75" spans="1:4">
      <c r="A75" s="3">
        <v>40602</v>
      </c>
      <c r="B75" s="4" t="s">
        <v>690</v>
      </c>
      <c r="C75" s="6">
        <f t="shared" si="2"/>
        <v>103.3</v>
      </c>
      <c r="D75" s="6">
        <f t="shared" si="3"/>
        <v>3.2999999999999972</v>
      </c>
    </row>
    <row r="76" spans="1:4">
      <c r="A76" s="2">
        <v>40633</v>
      </c>
      <c r="B76" s="4" t="s">
        <v>691</v>
      </c>
      <c r="C76" s="6">
        <f t="shared" si="2"/>
        <v>114.3</v>
      </c>
      <c r="D76" s="6">
        <f t="shared" si="3"/>
        <v>14.299999999999997</v>
      </c>
    </row>
    <row r="77" spans="1:4">
      <c r="A77" s="3">
        <v>40663</v>
      </c>
      <c r="B77" s="4" t="s">
        <v>682</v>
      </c>
      <c r="C77" s="6">
        <f t="shared" si="2"/>
        <v>90.8</v>
      </c>
      <c r="D77" s="6">
        <f t="shared" si="3"/>
        <v>-9.2000000000000028</v>
      </c>
    </row>
    <row r="78" spans="1:4">
      <c r="A78" s="2">
        <v>40694</v>
      </c>
      <c r="B78" s="4" t="s">
        <v>672</v>
      </c>
      <c r="C78" s="6">
        <f t="shared" si="2"/>
        <v>102.4</v>
      </c>
      <c r="D78" s="6">
        <f t="shared" si="3"/>
        <v>2.4000000000000057</v>
      </c>
    </row>
    <row r="79" spans="1:4">
      <c r="A79" s="3">
        <v>40724</v>
      </c>
      <c r="B79" s="4" t="s">
        <v>692</v>
      </c>
      <c r="C79" s="6">
        <f t="shared" si="2"/>
        <v>101.1</v>
      </c>
      <c r="D79" s="6">
        <f t="shared" si="3"/>
        <v>1.0999999999999943</v>
      </c>
    </row>
    <row r="80" spans="1:4">
      <c r="A80" s="2">
        <v>40755</v>
      </c>
      <c r="B80" s="4" t="s">
        <v>693</v>
      </c>
      <c r="C80" s="6">
        <f t="shared" si="2"/>
        <v>94.2</v>
      </c>
      <c r="D80" s="6">
        <f t="shared" si="3"/>
        <v>-5.7999999999999972</v>
      </c>
    </row>
    <row r="81" spans="1:4">
      <c r="A81" s="3">
        <v>40786</v>
      </c>
      <c r="B81" s="4" t="s">
        <v>660</v>
      </c>
      <c r="C81" s="6">
        <f t="shared" si="2"/>
        <v>104.4</v>
      </c>
      <c r="D81" s="6">
        <f t="shared" si="3"/>
        <v>4.4000000000000057</v>
      </c>
    </row>
    <row r="82" spans="1:4">
      <c r="A82" s="2">
        <v>40816</v>
      </c>
      <c r="B82" s="4" t="s">
        <v>694</v>
      </c>
      <c r="C82" s="6">
        <f t="shared" si="2"/>
        <v>111</v>
      </c>
      <c r="D82" s="6">
        <f t="shared" si="3"/>
        <v>11</v>
      </c>
    </row>
    <row r="83" spans="1:4">
      <c r="A83" s="3">
        <v>40847</v>
      </c>
      <c r="B83" s="4" t="s">
        <v>695</v>
      </c>
      <c r="C83" s="6">
        <f t="shared" si="2"/>
        <v>98.1</v>
      </c>
      <c r="D83" s="6">
        <f t="shared" si="3"/>
        <v>-1.9000000000000057</v>
      </c>
    </row>
    <row r="84" spans="1:4">
      <c r="A84" s="2">
        <v>40877</v>
      </c>
      <c r="B84" s="4" t="s">
        <v>696</v>
      </c>
      <c r="C84" s="6">
        <f t="shared" si="2"/>
        <v>100.2</v>
      </c>
      <c r="D84" s="6">
        <f t="shared" si="3"/>
        <v>0.20000000000000284</v>
      </c>
    </row>
    <row r="85" spans="1:4">
      <c r="A85" s="3">
        <v>40908</v>
      </c>
      <c r="B85" s="4" t="s">
        <v>697</v>
      </c>
      <c r="C85" s="6">
        <f t="shared" si="2"/>
        <v>96</v>
      </c>
      <c r="D85" s="6">
        <f t="shared" si="3"/>
        <v>-4</v>
      </c>
    </row>
    <row r="86" spans="1:4">
      <c r="A86" s="2">
        <v>40939</v>
      </c>
      <c r="B86" s="4" t="s">
        <v>698</v>
      </c>
      <c r="C86" s="6">
        <f t="shared" si="2"/>
        <v>95</v>
      </c>
      <c r="D86" s="6">
        <f t="shared" si="3"/>
        <v>-5</v>
      </c>
    </row>
    <row r="87" spans="1:4">
      <c r="A87" s="3">
        <v>40968</v>
      </c>
      <c r="B87" s="4" t="s">
        <v>639</v>
      </c>
      <c r="C87" s="6">
        <f t="shared" si="2"/>
        <v>99.6</v>
      </c>
      <c r="D87" s="6">
        <f t="shared" si="3"/>
        <v>-0.40000000000000568</v>
      </c>
    </row>
    <row r="88" spans="1:4">
      <c r="A88" s="2">
        <v>40999</v>
      </c>
      <c r="B88" s="4" t="s">
        <v>699</v>
      </c>
      <c r="C88" s="6">
        <f t="shared" si="2"/>
        <v>110.2</v>
      </c>
      <c r="D88" s="6">
        <f t="shared" si="3"/>
        <v>10.200000000000003</v>
      </c>
    </row>
    <row r="89" spans="1:4">
      <c r="A89" s="3">
        <v>41029</v>
      </c>
      <c r="B89" s="4" t="s">
        <v>700</v>
      </c>
      <c r="C89" s="6">
        <f t="shared" si="2"/>
        <v>92.4</v>
      </c>
      <c r="D89" s="6">
        <f t="shared" si="3"/>
        <v>-7.5999999999999943</v>
      </c>
    </row>
    <row r="90" spans="1:4">
      <c r="A90" s="2">
        <v>41060</v>
      </c>
      <c r="B90" s="4" t="s">
        <v>701</v>
      </c>
      <c r="C90" s="6">
        <f t="shared" si="2"/>
        <v>104</v>
      </c>
      <c r="D90" s="6">
        <f t="shared" si="3"/>
        <v>4</v>
      </c>
    </row>
    <row r="91" spans="1:4">
      <c r="A91" s="3">
        <v>41090</v>
      </c>
      <c r="B91" s="4" t="s">
        <v>702</v>
      </c>
      <c r="C91" s="6">
        <f t="shared" si="2"/>
        <v>98</v>
      </c>
      <c r="D91" s="6">
        <f t="shared" si="3"/>
        <v>-2</v>
      </c>
    </row>
    <row r="92" spans="1:4">
      <c r="A92" s="2">
        <v>41121</v>
      </c>
      <c r="B92" s="4" t="s">
        <v>695</v>
      </c>
      <c r="C92" s="6">
        <f t="shared" si="2"/>
        <v>98.1</v>
      </c>
      <c r="D92" s="6">
        <f t="shared" si="3"/>
        <v>-1.9000000000000057</v>
      </c>
    </row>
    <row r="93" spans="1:4">
      <c r="A93" s="3">
        <v>41152</v>
      </c>
      <c r="B93" s="4" t="s">
        <v>703</v>
      </c>
      <c r="C93" s="6">
        <f t="shared" si="2"/>
        <v>99.4</v>
      </c>
      <c r="D93" s="6">
        <f t="shared" si="3"/>
        <v>-0.59999999999999432</v>
      </c>
    </row>
    <row r="94" spans="1:4">
      <c r="A94" s="2">
        <v>41182</v>
      </c>
      <c r="B94" s="4" t="s">
        <v>704</v>
      </c>
      <c r="C94" s="6">
        <f t="shared" si="2"/>
        <v>105.5</v>
      </c>
      <c r="D94" s="6">
        <f t="shared" si="3"/>
        <v>5.5</v>
      </c>
    </row>
    <row r="95" spans="1:4">
      <c r="A95" s="3">
        <v>41213</v>
      </c>
      <c r="B95" s="4" t="s">
        <v>705</v>
      </c>
      <c r="C95" s="6">
        <f t="shared" si="2"/>
        <v>107.8</v>
      </c>
      <c r="D95" s="6">
        <f t="shared" si="3"/>
        <v>7.7999999999999972</v>
      </c>
    </row>
    <row r="96" spans="1:4">
      <c r="A96" s="2">
        <v>41243</v>
      </c>
      <c r="B96" s="4" t="s">
        <v>706</v>
      </c>
      <c r="C96" s="6">
        <f t="shared" si="2"/>
        <v>95.2</v>
      </c>
      <c r="D96" s="6">
        <f t="shared" si="3"/>
        <v>-4.7999999999999972</v>
      </c>
    </row>
    <row r="97" spans="1:4">
      <c r="A97" s="3">
        <v>41274</v>
      </c>
      <c r="B97" s="4" t="s">
        <v>707</v>
      </c>
      <c r="C97" s="6">
        <f t="shared" si="2"/>
        <v>87.2</v>
      </c>
      <c r="D97" s="6">
        <f t="shared" si="3"/>
        <v>-12.799999999999997</v>
      </c>
    </row>
    <row r="98" spans="1:4">
      <c r="A98" s="2">
        <v>41305</v>
      </c>
      <c r="B98" s="4" t="s">
        <v>704</v>
      </c>
      <c r="C98" s="6">
        <f t="shared" si="2"/>
        <v>105.5</v>
      </c>
      <c r="D98" s="6">
        <f t="shared" si="3"/>
        <v>5.5</v>
      </c>
    </row>
    <row r="99" spans="1:4">
      <c r="A99" s="3">
        <v>41333</v>
      </c>
      <c r="B99" s="4" t="s">
        <v>708</v>
      </c>
      <c r="C99" s="6">
        <f t="shared" si="2"/>
        <v>97.2</v>
      </c>
      <c r="D99" s="6">
        <f t="shared" si="3"/>
        <v>-2.7999999999999972</v>
      </c>
    </row>
    <row r="100" spans="1:4">
      <c r="A100" s="2">
        <v>41364</v>
      </c>
      <c r="B100" s="4" t="s">
        <v>709</v>
      </c>
      <c r="C100" s="6">
        <f t="shared" si="2"/>
        <v>109.3</v>
      </c>
      <c r="D100" s="6">
        <f t="shared" si="3"/>
        <v>9.2999999999999972</v>
      </c>
    </row>
    <row r="101" spans="1:4">
      <c r="A101" s="3">
        <v>41394</v>
      </c>
      <c r="B101" s="4" t="s">
        <v>651</v>
      </c>
      <c r="C101" s="6">
        <f t="shared" si="2"/>
        <v>97.8</v>
      </c>
      <c r="D101" s="6">
        <f t="shared" si="3"/>
        <v>-2.2000000000000028</v>
      </c>
    </row>
    <row r="102" spans="1:4">
      <c r="A102" s="2">
        <v>41425</v>
      </c>
      <c r="B102" s="4" t="s">
        <v>710</v>
      </c>
      <c r="C102" s="6">
        <f t="shared" si="2"/>
        <v>99.3</v>
      </c>
      <c r="D102" s="6">
        <f t="shared" si="3"/>
        <v>-0.70000000000000284</v>
      </c>
    </row>
    <row r="103" spans="1:4">
      <c r="A103" s="3">
        <v>41455</v>
      </c>
      <c r="B103" s="4" t="s">
        <v>654</v>
      </c>
      <c r="C103" s="6">
        <f t="shared" si="2"/>
        <v>102.6</v>
      </c>
      <c r="D103" s="6">
        <f t="shared" si="3"/>
        <v>2.5999999999999943</v>
      </c>
    </row>
    <row r="104" spans="1:4">
      <c r="A104" s="2">
        <v>41486</v>
      </c>
      <c r="B104" s="4" t="s">
        <v>661</v>
      </c>
      <c r="C104" s="6">
        <f t="shared" si="2"/>
        <v>101.5</v>
      </c>
      <c r="D104" s="6">
        <f t="shared" si="3"/>
        <v>1.5</v>
      </c>
    </row>
    <row r="105" spans="1:4">
      <c r="A105" s="3">
        <v>41517</v>
      </c>
      <c r="B105" s="4" t="s">
        <v>677</v>
      </c>
      <c r="C105" s="6">
        <f t="shared" si="2"/>
        <v>95.6</v>
      </c>
      <c r="D105" s="6">
        <f t="shared" si="3"/>
        <v>-4.4000000000000057</v>
      </c>
    </row>
    <row r="106" spans="1:4">
      <c r="A106" s="2">
        <v>41547</v>
      </c>
      <c r="B106" s="4" t="s">
        <v>658</v>
      </c>
      <c r="C106" s="6">
        <f t="shared" si="2"/>
        <v>109.7</v>
      </c>
      <c r="D106" s="6">
        <f t="shared" si="3"/>
        <v>9.7000000000000028</v>
      </c>
    </row>
    <row r="107" spans="1:4">
      <c r="A107" s="3">
        <v>41578</v>
      </c>
      <c r="B107" s="4" t="s">
        <v>711</v>
      </c>
      <c r="C107" s="6">
        <f t="shared" si="2"/>
        <v>106.1</v>
      </c>
      <c r="D107" s="6">
        <f t="shared" si="3"/>
        <v>6.0999999999999943</v>
      </c>
    </row>
    <row r="108" spans="1:4">
      <c r="A108" s="2">
        <v>41608</v>
      </c>
      <c r="B108" s="4" t="s">
        <v>712</v>
      </c>
      <c r="C108" s="6">
        <f t="shared" si="2"/>
        <v>93.8</v>
      </c>
      <c r="D108" s="6">
        <f t="shared" si="3"/>
        <v>-6.2000000000000028</v>
      </c>
    </row>
    <row r="109" spans="1:4">
      <c r="A109" s="3">
        <v>41639</v>
      </c>
      <c r="B109" s="4" t="s">
        <v>713</v>
      </c>
      <c r="C109" s="6">
        <f t="shared" si="2"/>
        <v>90.4</v>
      </c>
      <c r="D109" s="6">
        <f t="shared" si="3"/>
        <v>-9.5999999999999943</v>
      </c>
    </row>
    <row r="110" spans="1:4">
      <c r="A110" s="2">
        <v>41670</v>
      </c>
      <c r="B110" s="4" t="s">
        <v>714</v>
      </c>
      <c r="C110" s="6">
        <f t="shared" si="2"/>
        <v>103</v>
      </c>
      <c r="D110" s="6">
        <f t="shared" si="3"/>
        <v>3</v>
      </c>
    </row>
    <row r="111" spans="1:4">
      <c r="A111" s="3">
        <v>41698</v>
      </c>
      <c r="B111" s="4" t="s">
        <v>637</v>
      </c>
      <c r="C111" s="6">
        <f t="shared" si="2"/>
        <v>98.2</v>
      </c>
      <c r="D111" s="6">
        <f t="shared" si="3"/>
        <v>-1.7999999999999972</v>
      </c>
    </row>
    <row r="112" spans="1:4">
      <c r="A112" s="2">
        <v>41729</v>
      </c>
      <c r="B112" s="4" t="s">
        <v>715</v>
      </c>
      <c r="C112" s="6">
        <f t="shared" si="2"/>
        <v>109.4</v>
      </c>
      <c r="D112" s="6">
        <f t="shared" si="3"/>
        <v>9.4000000000000057</v>
      </c>
    </row>
    <row r="113" spans="1:4">
      <c r="A113" s="3">
        <v>41759</v>
      </c>
      <c r="B113" s="4" t="s">
        <v>651</v>
      </c>
      <c r="C113" s="6">
        <f t="shared" si="2"/>
        <v>97.8</v>
      </c>
      <c r="D113" s="6">
        <f t="shared" si="3"/>
        <v>-2.2000000000000028</v>
      </c>
    </row>
    <row r="114" spans="1:4">
      <c r="A114" s="2">
        <v>41790</v>
      </c>
      <c r="B114" s="4" t="s">
        <v>716</v>
      </c>
      <c r="C114" s="6">
        <f t="shared" si="2"/>
        <v>98.3</v>
      </c>
      <c r="D114" s="6">
        <f t="shared" si="3"/>
        <v>-1.7000000000000028</v>
      </c>
    </row>
    <row r="115" spans="1:4">
      <c r="A115" s="3">
        <v>41820</v>
      </c>
      <c r="B115" s="4" t="s">
        <v>628</v>
      </c>
      <c r="C115" s="6">
        <f t="shared" si="2"/>
        <v>100</v>
      </c>
      <c r="D115" s="6">
        <f t="shared" si="3"/>
        <v>0</v>
      </c>
    </row>
    <row r="116" spans="1:4">
      <c r="A116" s="2">
        <v>41851</v>
      </c>
      <c r="B116" s="4" t="s">
        <v>645</v>
      </c>
      <c r="C116" s="6">
        <f t="shared" si="2"/>
        <v>102.1</v>
      </c>
      <c r="D116" s="6">
        <f t="shared" si="3"/>
        <v>2.0999999999999943</v>
      </c>
    </row>
    <row r="117" spans="1:4">
      <c r="A117" s="3">
        <v>41882</v>
      </c>
      <c r="B117" s="4" t="s">
        <v>717</v>
      </c>
      <c r="C117" s="6">
        <f t="shared" si="2"/>
        <v>91.5</v>
      </c>
      <c r="D117" s="6">
        <f t="shared" si="3"/>
        <v>-8.5</v>
      </c>
    </row>
    <row r="118" spans="1:4">
      <c r="A118" s="2">
        <v>41912</v>
      </c>
      <c r="B118" s="4" t="s">
        <v>718</v>
      </c>
      <c r="C118" s="6">
        <f t="shared" si="2"/>
        <v>116.5</v>
      </c>
      <c r="D118" s="6">
        <f t="shared" si="3"/>
        <v>16.5</v>
      </c>
    </row>
    <row r="119" spans="1:4">
      <c r="A119" s="3">
        <v>41943</v>
      </c>
      <c r="B119" s="4" t="s">
        <v>719</v>
      </c>
      <c r="C119" s="6">
        <f t="shared" si="2"/>
        <v>103.6</v>
      </c>
      <c r="D119" s="6">
        <f t="shared" si="3"/>
        <v>3.5999999999999943</v>
      </c>
    </row>
    <row r="120" spans="1:4">
      <c r="A120" s="2">
        <v>41973</v>
      </c>
      <c r="B120" s="4" t="s">
        <v>720</v>
      </c>
      <c r="C120" s="6">
        <f t="shared" si="2"/>
        <v>92.5</v>
      </c>
      <c r="D120" s="6">
        <f t="shared" si="3"/>
        <v>-7.5</v>
      </c>
    </row>
    <row r="121" spans="1:4">
      <c r="A121" s="3">
        <v>42004</v>
      </c>
      <c r="B121" s="4" t="s">
        <v>676</v>
      </c>
      <c r="C121" s="6">
        <f t="shared" si="2"/>
        <v>97.4</v>
      </c>
      <c r="D121" s="6">
        <f t="shared" si="3"/>
        <v>-2.5999999999999943</v>
      </c>
    </row>
    <row r="122" spans="1:4">
      <c r="A122" s="2">
        <v>42035</v>
      </c>
      <c r="B122" s="4" t="s">
        <v>679</v>
      </c>
      <c r="C122" s="6">
        <f t="shared" si="2"/>
        <v>96.8</v>
      </c>
      <c r="D122" s="6">
        <f t="shared" si="3"/>
        <v>-3.2000000000000028</v>
      </c>
    </row>
    <row r="123" spans="1:4">
      <c r="A123" s="3">
        <v>42063</v>
      </c>
      <c r="B123" s="4" t="s">
        <v>721</v>
      </c>
      <c r="C123" s="6">
        <f t="shared" si="2"/>
        <v>101.4</v>
      </c>
      <c r="D123" s="6">
        <f t="shared" si="3"/>
        <v>1.4000000000000057</v>
      </c>
    </row>
    <row r="124" spans="1:4">
      <c r="A124" s="2">
        <v>42094</v>
      </c>
      <c r="B124" s="4" t="s">
        <v>722</v>
      </c>
      <c r="C124" s="6">
        <f t="shared" si="2"/>
        <v>113.4</v>
      </c>
      <c r="D124" s="6">
        <f t="shared" si="3"/>
        <v>13.400000000000006</v>
      </c>
    </row>
    <row r="125" spans="1:4">
      <c r="A125" s="3">
        <v>42124</v>
      </c>
      <c r="B125" s="4" t="s">
        <v>723</v>
      </c>
      <c r="C125" s="6">
        <f t="shared" si="2"/>
        <v>92</v>
      </c>
      <c r="D125" s="6">
        <f t="shared" si="3"/>
        <v>-8</v>
      </c>
    </row>
    <row r="126" spans="1:4">
      <c r="A126" s="2">
        <v>42155</v>
      </c>
      <c r="B126" s="4" t="s">
        <v>687</v>
      </c>
      <c r="C126" s="6">
        <f t="shared" si="2"/>
        <v>98.6</v>
      </c>
      <c r="D126" s="6">
        <f t="shared" si="3"/>
        <v>-1.4000000000000057</v>
      </c>
    </row>
    <row r="127" spans="1:4">
      <c r="A127" s="3">
        <v>42185</v>
      </c>
      <c r="B127" s="4" t="s">
        <v>724</v>
      </c>
      <c r="C127" s="6">
        <f t="shared" si="2"/>
        <v>104.6</v>
      </c>
      <c r="D127" s="6">
        <f t="shared" si="3"/>
        <v>4.5999999999999943</v>
      </c>
    </row>
    <row r="128" spans="1:4">
      <c r="A128" s="2">
        <v>42216</v>
      </c>
      <c r="B128" s="4" t="s">
        <v>725</v>
      </c>
      <c r="C128" s="6">
        <f t="shared" si="2"/>
        <v>98.7</v>
      </c>
      <c r="D128" s="6">
        <f t="shared" si="3"/>
        <v>-1.2999999999999972</v>
      </c>
    </row>
    <row r="129" spans="1:4">
      <c r="A129" s="3">
        <v>42247</v>
      </c>
      <c r="B129" s="4" t="s">
        <v>726</v>
      </c>
      <c r="C129" s="6">
        <f t="shared" si="2"/>
        <v>92.9</v>
      </c>
      <c r="D129" s="6">
        <f t="shared" si="3"/>
        <v>-7.0999999999999943</v>
      </c>
    </row>
    <row r="130" spans="1:4">
      <c r="A130" s="2">
        <v>42277</v>
      </c>
      <c r="B130" s="4" t="s">
        <v>727</v>
      </c>
      <c r="C130" s="6">
        <f t="shared" si="2"/>
        <v>115.1</v>
      </c>
      <c r="D130" s="6">
        <f t="shared" si="3"/>
        <v>15.099999999999994</v>
      </c>
    </row>
    <row r="131" spans="1:4">
      <c r="A131" s="3">
        <v>42308</v>
      </c>
      <c r="B131" s="4" t="s">
        <v>668</v>
      </c>
      <c r="C131" s="6">
        <f t="shared" ref="C131:C194" si="4">B131*1</f>
        <v>101.9</v>
      </c>
      <c r="D131" s="6">
        <f t="shared" ref="D131:D194" si="5">C131-100</f>
        <v>1.9000000000000057</v>
      </c>
    </row>
    <row r="132" spans="1:4">
      <c r="A132" s="2">
        <v>42338</v>
      </c>
      <c r="B132" s="4" t="s">
        <v>676</v>
      </c>
      <c r="C132" s="6">
        <f t="shared" si="4"/>
        <v>97.4</v>
      </c>
      <c r="D132" s="6">
        <f t="shared" si="5"/>
        <v>-2.5999999999999943</v>
      </c>
    </row>
    <row r="133" spans="1:4">
      <c r="A133" s="3">
        <v>42369</v>
      </c>
      <c r="B133" s="4" t="s">
        <v>728</v>
      </c>
      <c r="C133" s="6">
        <f t="shared" si="4"/>
        <v>96.4</v>
      </c>
      <c r="D133" s="6">
        <f t="shared" si="5"/>
        <v>-3.5999999999999943</v>
      </c>
    </row>
    <row r="134" spans="1:4">
      <c r="A134" s="2">
        <v>42400</v>
      </c>
      <c r="B134" s="4" t="s">
        <v>729</v>
      </c>
      <c r="C134" s="6">
        <f t="shared" si="4"/>
        <v>92.1</v>
      </c>
      <c r="D134" s="6">
        <f t="shared" si="5"/>
        <v>-7.9000000000000057</v>
      </c>
    </row>
    <row r="135" spans="1:4">
      <c r="A135" s="3">
        <v>42429</v>
      </c>
      <c r="B135" s="4" t="s">
        <v>730</v>
      </c>
      <c r="C135" s="6">
        <f t="shared" si="4"/>
        <v>106.9</v>
      </c>
      <c r="D135" s="6">
        <f t="shared" si="5"/>
        <v>6.9000000000000057</v>
      </c>
    </row>
    <row r="136" spans="1:4">
      <c r="A136" s="2">
        <v>42460</v>
      </c>
      <c r="B136" s="4" t="s">
        <v>731</v>
      </c>
      <c r="C136" s="6">
        <f t="shared" si="4"/>
        <v>107</v>
      </c>
      <c r="D136" s="6">
        <f t="shared" si="5"/>
        <v>7</v>
      </c>
    </row>
    <row r="137" spans="1:4">
      <c r="A137" s="3">
        <v>42490</v>
      </c>
      <c r="B137" s="4" t="s">
        <v>732</v>
      </c>
      <c r="C137" s="6">
        <f t="shared" si="4"/>
        <v>96.7</v>
      </c>
      <c r="D137" s="6">
        <f t="shared" si="5"/>
        <v>-3.2999999999999972</v>
      </c>
    </row>
    <row r="138" spans="1:4">
      <c r="A138" s="2">
        <v>42521</v>
      </c>
      <c r="B138" s="4" t="s">
        <v>733</v>
      </c>
      <c r="C138" s="6">
        <f t="shared" si="4"/>
        <v>96.1</v>
      </c>
      <c r="D138" s="6">
        <f t="shared" si="5"/>
        <v>-3.9000000000000057</v>
      </c>
    </row>
    <row r="139" spans="1:4">
      <c r="A139" s="3">
        <v>42551</v>
      </c>
      <c r="B139" s="4" t="s">
        <v>734</v>
      </c>
      <c r="C139" s="6">
        <f t="shared" si="4"/>
        <v>107.3</v>
      </c>
      <c r="D139" s="6">
        <f t="shared" si="5"/>
        <v>7.2999999999999972</v>
      </c>
    </row>
    <row r="140" spans="1:4">
      <c r="A140" s="2">
        <v>42582</v>
      </c>
      <c r="B140" s="4" t="s">
        <v>735</v>
      </c>
      <c r="C140" s="6">
        <f t="shared" si="4"/>
        <v>90</v>
      </c>
      <c r="D140" s="6">
        <f t="shared" si="5"/>
        <v>-10</v>
      </c>
    </row>
    <row r="141" spans="1:4">
      <c r="A141" s="3">
        <v>42613</v>
      </c>
      <c r="B141" s="4" t="s">
        <v>690</v>
      </c>
      <c r="C141" s="6">
        <f t="shared" si="4"/>
        <v>103.3</v>
      </c>
      <c r="D141" s="6">
        <f t="shared" si="5"/>
        <v>3.2999999999999972</v>
      </c>
    </row>
    <row r="142" spans="1:4">
      <c r="A142" s="2">
        <v>42643</v>
      </c>
      <c r="B142" s="4" t="s">
        <v>699</v>
      </c>
      <c r="C142" s="6">
        <f t="shared" si="4"/>
        <v>110.2</v>
      </c>
      <c r="D142" s="6">
        <f t="shared" si="5"/>
        <v>10.200000000000003</v>
      </c>
    </row>
    <row r="143" spans="1:4">
      <c r="A143" s="3">
        <v>42674</v>
      </c>
      <c r="B143" s="4" t="s">
        <v>736</v>
      </c>
      <c r="C143" s="6">
        <f t="shared" si="4"/>
        <v>97.6</v>
      </c>
      <c r="D143" s="6">
        <f t="shared" si="5"/>
        <v>-2.4000000000000057</v>
      </c>
    </row>
    <row r="144" spans="1:4">
      <c r="A144" s="2">
        <v>42704</v>
      </c>
      <c r="B144" s="4" t="s">
        <v>636</v>
      </c>
      <c r="C144" s="6">
        <f t="shared" si="4"/>
        <v>101.8</v>
      </c>
      <c r="D144" s="6">
        <f t="shared" si="5"/>
        <v>1.7999999999999972</v>
      </c>
    </row>
    <row r="145" spans="1:4">
      <c r="A145" s="3">
        <v>42735</v>
      </c>
      <c r="B145" s="4" t="s">
        <v>677</v>
      </c>
      <c r="C145" s="6">
        <f t="shared" si="4"/>
        <v>95.6</v>
      </c>
      <c r="D145" s="6">
        <f t="shared" si="5"/>
        <v>-4.4000000000000057</v>
      </c>
    </row>
    <row r="146" spans="1:4">
      <c r="A146" s="2">
        <v>42766</v>
      </c>
      <c r="B146" s="4" t="s">
        <v>737</v>
      </c>
      <c r="C146" s="6">
        <f t="shared" si="4"/>
        <v>98.5</v>
      </c>
      <c r="D146" s="6">
        <f t="shared" si="5"/>
        <v>-1.5</v>
      </c>
    </row>
    <row r="147" spans="1:4">
      <c r="A147" s="3">
        <v>42794</v>
      </c>
      <c r="B147" s="4" t="s">
        <v>656</v>
      </c>
      <c r="C147" s="6">
        <f t="shared" si="4"/>
        <v>98.9</v>
      </c>
      <c r="D147" s="6">
        <f t="shared" si="5"/>
        <v>-1.0999999999999943</v>
      </c>
    </row>
    <row r="148" spans="1:4">
      <c r="A148" s="2">
        <v>42825</v>
      </c>
      <c r="B148" s="4" t="s">
        <v>738</v>
      </c>
      <c r="C148" s="6">
        <f t="shared" si="4"/>
        <v>117.4</v>
      </c>
      <c r="D148" s="6">
        <f t="shared" si="5"/>
        <v>17.400000000000006</v>
      </c>
    </row>
    <row r="149" spans="1:4">
      <c r="A149" s="3">
        <v>42855</v>
      </c>
      <c r="B149" s="4" t="s">
        <v>739</v>
      </c>
      <c r="C149" s="6">
        <f t="shared" si="4"/>
        <v>86.7</v>
      </c>
      <c r="D149" s="6">
        <f t="shared" si="5"/>
        <v>-13.299999999999997</v>
      </c>
    </row>
    <row r="150" spans="1:4">
      <c r="A150" s="2">
        <v>42886</v>
      </c>
      <c r="B150" s="4" t="s">
        <v>740</v>
      </c>
      <c r="C150" s="6">
        <f t="shared" si="4"/>
        <v>105.4</v>
      </c>
      <c r="D150" s="6">
        <f t="shared" si="5"/>
        <v>5.4000000000000057</v>
      </c>
    </row>
    <row r="151" spans="1:4">
      <c r="A151" s="3">
        <v>42916</v>
      </c>
      <c r="B151" s="4" t="s">
        <v>654</v>
      </c>
      <c r="C151" s="6">
        <f t="shared" si="4"/>
        <v>102.6</v>
      </c>
      <c r="D151" s="6">
        <f t="shared" si="5"/>
        <v>2.5999999999999943</v>
      </c>
    </row>
    <row r="152" spans="1:4">
      <c r="A152" s="2">
        <v>42947</v>
      </c>
      <c r="B152" s="4" t="s">
        <v>741</v>
      </c>
      <c r="C152" s="6">
        <f t="shared" si="4"/>
        <v>91.6</v>
      </c>
      <c r="D152" s="6">
        <f t="shared" si="5"/>
        <v>-8.4000000000000057</v>
      </c>
    </row>
    <row r="153" spans="1:4">
      <c r="A153" s="3">
        <v>42978</v>
      </c>
      <c r="B153" s="4" t="s">
        <v>742</v>
      </c>
      <c r="C153" s="6">
        <f t="shared" si="4"/>
        <v>105.8</v>
      </c>
      <c r="D153" s="6">
        <f t="shared" si="5"/>
        <v>5.7999999999999972</v>
      </c>
    </row>
    <row r="154" spans="1:4">
      <c r="A154" s="2">
        <v>43008</v>
      </c>
      <c r="B154" s="4" t="s">
        <v>743</v>
      </c>
      <c r="C154" s="6">
        <f t="shared" si="4"/>
        <v>105.7</v>
      </c>
      <c r="D154" s="6">
        <f t="shared" si="5"/>
        <v>5.7000000000000028</v>
      </c>
    </row>
    <row r="155" spans="1:4">
      <c r="A155" s="3">
        <v>43039</v>
      </c>
      <c r="B155" s="4" t="s">
        <v>744</v>
      </c>
      <c r="C155" s="6">
        <f t="shared" si="4"/>
        <v>105</v>
      </c>
      <c r="D155" s="6">
        <f t="shared" si="5"/>
        <v>5</v>
      </c>
    </row>
    <row r="156" spans="1:4">
      <c r="A156" s="2">
        <v>43069</v>
      </c>
      <c r="B156" s="4" t="s">
        <v>656</v>
      </c>
      <c r="C156" s="6">
        <f t="shared" si="4"/>
        <v>98.9</v>
      </c>
      <c r="D156" s="6">
        <f t="shared" si="5"/>
        <v>-1.0999999999999943</v>
      </c>
    </row>
    <row r="157" spans="1:4">
      <c r="A157" s="3">
        <v>43100</v>
      </c>
      <c r="B157" s="4" t="s">
        <v>735</v>
      </c>
      <c r="C157" s="6">
        <f t="shared" si="4"/>
        <v>90</v>
      </c>
      <c r="D157" s="6">
        <f t="shared" si="5"/>
        <v>-10</v>
      </c>
    </row>
    <row r="158" spans="1:4">
      <c r="A158" s="2">
        <v>43131</v>
      </c>
      <c r="B158" s="4" t="s">
        <v>634</v>
      </c>
      <c r="C158" s="6">
        <f t="shared" si="4"/>
        <v>104.1</v>
      </c>
      <c r="D158" s="6">
        <f t="shared" si="5"/>
        <v>4.0999999999999943</v>
      </c>
    </row>
    <row r="159" spans="1:4">
      <c r="A159" s="3">
        <v>43159</v>
      </c>
      <c r="B159" s="4" t="s">
        <v>745</v>
      </c>
      <c r="C159" s="6">
        <f t="shared" si="4"/>
        <v>97.7</v>
      </c>
      <c r="D159" s="6">
        <f t="shared" si="5"/>
        <v>-2.2999999999999972</v>
      </c>
    </row>
    <row r="160" spans="1:4">
      <c r="A160" s="2">
        <v>43190</v>
      </c>
      <c r="B160" s="4" t="s">
        <v>746</v>
      </c>
      <c r="C160" s="6">
        <f t="shared" si="4"/>
        <v>111.2</v>
      </c>
      <c r="D160" s="6">
        <f t="shared" si="5"/>
        <v>11.200000000000003</v>
      </c>
    </row>
    <row r="161" spans="1:4">
      <c r="A161" s="3">
        <v>43220</v>
      </c>
      <c r="B161" s="4" t="s">
        <v>638</v>
      </c>
      <c r="C161" s="6">
        <f t="shared" si="4"/>
        <v>93.2</v>
      </c>
      <c r="D161" s="6">
        <f t="shared" si="5"/>
        <v>-6.7999999999999972</v>
      </c>
    </row>
    <row r="162" spans="1:4">
      <c r="A162" s="2">
        <v>43251</v>
      </c>
      <c r="B162" s="4" t="s">
        <v>721</v>
      </c>
      <c r="C162" s="6">
        <f t="shared" si="4"/>
        <v>101.4</v>
      </c>
      <c r="D162" s="6">
        <f t="shared" si="5"/>
        <v>1.4000000000000057</v>
      </c>
    </row>
    <row r="163" spans="1:4">
      <c r="A163" s="3">
        <v>43281</v>
      </c>
      <c r="B163" s="4" t="s">
        <v>747</v>
      </c>
      <c r="C163" s="6">
        <f t="shared" si="4"/>
        <v>104.2</v>
      </c>
      <c r="D163" s="6">
        <f t="shared" si="5"/>
        <v>4.2000000000000028</v>
      </c>
    </row>
    <row r="164" spans="1:4">
      <c r="A164" s="2">
        <v>43312</v>
      </c>
      <c r="B164" s="4" t="s">
        <v>644</v>
      </c>
      <c r="C164" s="6">
        <f t="shared" si="4"/>
        <v>94.6</v>
      </c>
      <c r="D164" s="6">
        <f t="shared" si="5"/>
        <v>-5.4000000000000057</v>
      </c>
    </row>
    <row r="165" spans="1:4">
      <c r="A165" s="3">
        <v>43343</v>
      </c>
      <c r="B165" s="4" t="s">
        <v>748</v>
      </c>
      <c r="C165" s="6">
        <f t="shared" si="4"/>
        <v>100.8</v>
      </c>
      <c r="D165" s="6">
        <f t="shared" si="5"/>
        <v>0.79999999999999716</v>
      </c>
    </row>
    <row r="166" spans="1:4">
      <c r="A166" s="2">
        <v>43373</v>
      </c>
      <c r="B166" s="4" t="s">
        <v>690</v>
      </c>
      <c r="C166" s="6">
        <f t="shared" si="4"/>
        <v>103.3</v>
      </c>
      <c r="D166" s="6">
        <f t="shared" si="5"/>
        <v>3.2999999999999972</v>
      </c>
    </row>
    <row r="167" spans="1:4">
      <c r="A167" s="3">
        <v>43404</v>
      </c>
      <c r="B167" s="4" t="s">
        <v>635</v>
      </c>
      <c r="C167" s="6">
        <f t="shared" si="4"/>
        <v>109.9</v>
      </c>
      <c r="D167" s="6">
        <f t="shared" si="5"/>
        <v>9.9000000000000057</v>
      </c>
    </row>
    <row r="168" spans="1:4">
      <c r="A168" s="2">
        <v>43434</v>
      </c>
      <c r="B168" s="4" t="s">
        <v>749</v>
      </c>
      <c r="C168" s="6">
        <f t="shared" si="4"/>
        <v>96.3</v>
      </c>
      <c r="D168" s="6">
        <f t="shared" si="5"/>
        <v>-3.7000000000000028</v>
      </c>
    </row>
    <row r="169" spans="1:4">
      <c r="A169" s="3">
        <v>43465</v>
      </c>
      <c r="B169" s="4" t="s">
        <v>750</v>
      </c>
      <c r="C169" s="6">
        <f t="shared" si="4"/>
        <v>88.5</v>
      </c>
      <c r="D169" s="6">
        <f t="shared" si="5"/>
        <v>-11.5</v>
      </c>
    </row>
    <row r="170" spans="1:4">
      <c r="A170" s="2">
        <v>43496</v>
      </c>
      <c r="B170" s="4" t="s">
        <v>734</v>
      </c>
      <c r="C170" s="6">
        <f t="shared" si="4"/>
        <v>107.3</v>
      </c>
      <c r="D170" s="6">
        <f t="shared" si="5"/>
        <v>7.2999999999999972</v>
      </c>
    </row>
    <row r="171" spans="1:4">
      <c r="A171" s="3">
        <v>43524</v>
      </c>
      <c r="B171" s="4" t="s">
        <v>737</v>
      </c>
      <c r="C171" s="6">
        <f t="shared" si="4"/>
        <v>98.5</v>
      </c>
      <c r="D171" s="6">
        <f t="shared" si="5"/>
        <v>-1.5</v>
      </c>
    </row>
    <row r="172" spans="1:4">
      <c r="A172" s="2">
        <v>43555</v>
      </c>
      <c r="B172" s="4" t="s">
        <v>635</v>
      </c>
      <c r="C172" s="6">
        <f t="shared" si="4"/>
        <v>109.9</v>
      </c>
      <c r="D172" s="6">
        <f t="shared" si="5"/>
        <v>9.9000000000000057</v>
      </c>
    </row>
    <row r="173" spans="1:4">
      <c r="A173" s="3">
        <v>43585</v>
      </c>
      <c r="B173" s="4" t="s">
        <v>728</v>
      </c>
      <c r="C173" s="6">
        <f t="shared" si="4"/>
        <v>96.4</v>
      </c>
      <c r="D173" s="6">
        <f t="shared" si="5"/>
        <v>-3.5999999999999943</v>
      </c>
    </row>
    <row r="174" spans="1:4">
      <c r="A174" s="2">
        <v>43616</v>
      </c>
      <c r="B174" s="4" t="s">
        <v>628</v>
      </c>
      <c r="C174" s="6">
        <f t="shared" si="4"/>
        <v>100</v>
      </c>
      <c r="D174" s="6">
        <f t="shared" si="5"/>
        <v>0</v>
      </c>
    </row>
    <row r="175" spans="1:4">
      <c r="A175" s="3">
        <v>43646</v>
      </c>
      <c r="B175" s="4" t="s">
        <v>693</v>
      </c>
      <c r="C175" s="6">
        <f t="shared" si="4"/>
        <v>94.2</v>
      </c>
      <c r="D175" s="6">
        <f t="shared" si="5"/>
        <v>-5.7999999999999972</v>
      </c>
    </row>
    <row r="176" spans="1:4">
      <c r="A176" s="2">
        <v>43677</v>
      </c>
      <c r="B176" s="4" t="s">
        <v>751</v>
      </c>
      <c r="C176" s="6">
        <f t="shared" si="4"/>
        <v>102.8</v>
      </c>
      <c r="D176" s="6">
        <f t="shared" si="5"/>
        <v>2.7999999999999972</v>
      </c>
    </row>
    <row r="177" spans="1:4">
      <c r="A177" s="3">
        <v>43708</v>
      </c>
      <c r="B177" s="4" t="s">
        <v>752</v>
      </c>
      <c r="C177" s="6">
        <f t="shared" si="4"/>
        <v>93.9</v>
      </c>
      <c r="D177" s="6">
        <f t="shared" si="5"/>
        <v>-6.0999999999999943</v>
      </c>
    </row>
    <row r="178" spans="1:4">
      <c r="A178" s="2">
        <v>43738</v>
      </c>
      <c r="B178" s="4" t="s">
        <v>753</v>
      </c>
      <c r="C178" s="6">
        <f t="shared" si="4"/>
        <v>110.8</v>
      </c>
      <c r="D178" s="6">
        <f t="shared" si="5"/>
        <v>10.799999999999997</v>
      </c>
    </row>
    <row r="179" spans="1:4">
      <c r="A179" s="3">
        <v>43769</v>
      </c>
      <c r="B179" s="4" t="s">
        <v>754</v>
      </c>
      <c r="C179" s="6">
        <f t="shared" si="4"/>
        <v>107.9</v>
      </c>
      <c r="D179" s="6">
        <f t="shared" si="5"/>
        <v>7.9000000000000057</v>
      </c>
    </row>
    <row r="180" spans="1:4">
      <c r="A180" s="2">
        <v>43799</v>
      </c>
      <c r="B180" s="4" t="s">
        <v>693</v>
      </c>
      <c r="C180" s="6">
        <f t="shared" si="4"/>
        <v>94.2</v>
      </c>
      <c r="D180" s="6">
        <f t="shared" si="5"/>
        <v>-5.7999999999999972</v>
      </c>
    </row>
    <row r="181" spans="1:4">
      <c r="A181" s="3">
        <v>43830</v>
      </c>
      <c r="B181" s="4" t="s">
        <v>755</v>
      </c>
      <c r="C181" s="6">
        <f t="shared" si="4"/>
        <v>90.6</v>
      </c>
      <c r="D181" s="6">
        <f t="shared" si="5"/>
        <v>-9.4000000000000057</v>
      </c>
    </row>
    <row r="182" spans="1:4">
      <c r="A182" s="2">
        <v>43861</v>
      </c>
      <c r="B182" s="4" t="s">
        <v>756</v>
      </c>
      <c r="C182" s="6">
        <f t="shared" si="4"/>
        <v>104.5</v>
      </c>
      <c r="D182" s="6">
        <f t="shared" si="5"/>
        <v>4.5</v>
      </c>
    </row>
    <row r="183" spans="1:4">
      <c r="A183" s="3">
        <v>43890</v>
      </c>
      <c r="B183" s="4" t="s">
        <v>757</v>
      </c>
      <c r="C183" s="6">
        <f t="shared" si="4"/>
        <v>102.2</v>
      </c>
      <c r="D183" s="6">
        <f t="shared" si="5"/>
        <v>2.2000000000000028</v>
      </c>
    </row>
    <row r="184" spans="1:4">
      <c r="A184" s="2">
        <v>43921</v>
      </c>
      <c r="B184" s="4" t="s">
        <v>757</v>
      </c>
      <c r="C184" s="6">
        <f t="shared" si="4"/>
        <v>102.2</v>
      </c>
      <c r="D184" s="6">
        <f t="shared" si="5"/>
        <v>2.2000000000000028</v>
      </c>
    </row>
    <row r="185" spans="1:4">
      <c r="A185" s="3">
        <v>43951</v>
      </c>
      <c r="B185" s="4" t="s">
        <v>758</v>
      </c>
      <c r="C185" s="6">
        <f t="shared" si="4"/>
        <v>74.5</v>
      </c>
      <c r="D185" s="6">
        <f t="shared" si="5"/>
        <v>-25.5</v>
      </c>
    </row>
    <row r="186" spans="1:4">
      <c r="A186" s="2">
        <v>43982</v>
      </c>
      <c r="B186" s="4" t="s">
        <v>759</v>
      </c>
      <c r="C186" s="6">
        <f t="shared" si="4"/>
        <v>110.3</v>
      </c>
      <c r="D186" s="6">
        <f t="shared" si="5"/>
        <v>10.299999999999997</v>
      </c>
    </row>
    <row r="187" spans="1:4">
      <c r="A187" s="3">
        <v>44012</v>
      </c>
      <c r="B187" s="4" t="s">
        <v>760</v>
      </c>
      <c r="C187" s="6">
        <f t="shared" si="4"/>
        <v>113.9</v>
      </c>
      <c r="D187" s="6">
        <f t="shared" si="5"/>
        <v>13.900000000000006</v>
      </c>
    </row>
    <row r="188" spans="1:4">
      <c r="A188" s="2">
        <v>44043</v>
      </c>
      <c r="B188" s="4" t="s">
        <v>761</v>
      </c>
      <c r="C188" s="6">
        <f t="shared" si="4"/>
        <v>103.4</v>
      </c>
      <c r="D188" s="6">
        <f t="shared" si="5"/>
        <v>3.4000000000000057</v>
      </c>
    </row>
    <row r="189" spans="1:4">
      <c r="A189" s="3">
        <v>44074</v>
      </c>
      <c r="B189" s="4" t="s">
        <v>689</v>
      </c>
      <c r="C189" s="6">
        <f t="shared" si="4"/>
        <v>94.3</v>
      </c>
      <c r="D189" s="6">
        <f t="shared" si="5"/>
        <v>-5.7000000000000028</v>
      </c>
    </row>
    <row r="190" spans="1:4">
      <c r="A190" s="2">
        <v>44104</v>
      </c>
      <c r="B190" s="4" t="s">
        <v>762</v>
      </c>
      <c r="C190" s="6">
        <f t="shared" si="4"/>
        <v>115.3</v>
      </c>
      <c r="D190" s="6">
        <f t="shared" si="5"/>
        <v>15.299999999999997</v>
      </c>
    </row>
    <row r="191" spans="1:4">
      <c r="A191" s="3">
        <v>44135</v>
      </c>
      <c r="B191" s="4" t="s">
        <v>680</v>
      </c>
      <c r="C191" s="6">
        <f t="shared" si="4"/>
        <v>103.1</v>
      </c>
      <c r="D191" s="6">
        <f t="shared" si="5"/>
        <v>3.0999999999999943</v>
      </c>
    </row>
    <row r="192" spans="1:4">
      <c r="A192" s="2">
        <v>44165</v>
      </c>
      <c r="B192" s="4" t="s">
        <v>686</v>
      </c>
      <c r="C192" s="6">
        <f t="shared" si="4"/>
        <v>98.4</v>
      </c>
      <c r="D192" s="6">
        <f t="shared" si="5"/>
        <v>-1.5999999999999943</v>
      </c>
    </row>
    <row r="193" spans="1:4">
      <c r="A193" s="3">
        <v>44196</v>
      </c>
      <c r="B193" s="4" t="s">
        <v>763</v>
      </c>
      <c r="C193" s="6">
        <f t="shared" si="4"/>
        <v>95.5</v>
      </c>
      <c r="D193" s="6">
        <f t="shared" si="5"/>
        <v>-4.5</v>
      </c>
    </row>
    <row r="194" spans="1:4">
      <c r="A194" s="2">
        <v>44227</v>
      </c>
      <c r="B194" s="4" t="s">
        <v>644</v>
      </c>
      <c r="C194" s="6">
        <f t="shared" si="4"/>
        <v>94.6</v>
      </c>
      <c r="D194" s="6">
        <f t="shared" si="5"/>
        <v>-5.4000000000000057</v>
      </c>
    </row>
    <row r="195" spans="1:4">
      <c r="A195" s="3">
        <v>44255</v>
      </c>
      <c r="B195" s="4" t="s">
        <v>701</v>
      </c>
      <c r="C195" s="6">
        <f t="shared" ref="C195:C244" si="6">B195*1</f>
        <v>104</v>
      </c>
      <c r="D195" s="6">
        <f t="shared" ref="D195:D244" si="7">C195-100</f>
        <v>4</v>
      </c>
    </row>
    <row r="196" spans="1:4">
      <c r="A196" s="2">
        <v>44286</v>
      </c>
      <c r="B196" s="4" t="s">
        <v>764</v>
      </c>
      <c r="C196" s="6">
        <f t="shared" si="6"/>
        <v>118.2</v>
      </c>
      <c r="D196" s="6">
        <f t="shared" si="7"/>
        <v>18.200000000000003</v>
      </c>
    </row>
    <row r="197" spans="1:4">
      <c r="A197" s="3">
        <v>44316</v>
      </c>
      <c r="B197" s="4" t="s">
        <v>755</v>
      </c>
      <c r="C197" s="6">
        <f t="shared" si="6"/>
        <v>90.6</v>
      </c>
      <c r="D197" s="6">
        <f t="shared" si="7"/>
        <v>-9.4000000000000057</v>
      </c>
    </row>
    <row r="198" spans="1:4">
      <c r="A198" s="2">
        <v>44347</v>
      </c>
      <c r="B198" s="4" t="s">
        <v>630</v>
      </c>
      <c r="C198" s="6">
        <f t="shared" si="6"/>
        <v>99.1</v>
      </c>
      <c r="D198" s="6">
        <f t="shared" si="7"/>
        <v>-0.90000000000000568</v>
      </c>
    </row>
    <row r="199" spans="1:4">
      <c r="A199" s="3">
        <v>44377</v>
      </c>
      <c r="B199" s="4" t="s">
        <v>765</v>
      </c>
      <c r="C199" s="6">
        <f t="shared" si="6"/>
        <v>103.8</v>
      </c>
      <c r="D199" s="6">
        <f t="shared" si="7"/>
        <v>3.7999999999999972</v>
      </c>
    </row>
    <row r="200" spans="1:4">
      <c r="A200" s="2">
        <v>44408</v>
      </c>
      <c r="B200" s="4" t="s">
        <v>688</v>
      </c>
      <c r="C200" s="6">
        <f t="shared" si="6"/>
        <v>95.8</v>
      </c>
      <c r="D200" s="6">
        <f t="shared" si="7"/>
        <v>-4.2000000000000028</v>
      </c>
    </row>
    <row r="201" spans="1:4">
      <c r="A201" s="3">
        <v>44439</v>
      </c>
      <c r="B201" s="4" t="s">
        <v>665</v>
      </c>
      <c r="C201" s="6">
        <f t="shared" si="6"/>
        <v>97.3</v>
      </c>
      <c r="D201" s="6">
        <f t="shared" si="7"/>
        <v>-2.7000000000000028</v>
      </c>
    </row>
    <row r="202" spans="1:4">
      <c r="A202" s="2">
        <v>44469</v>
      </c>
      <c r="B202" s="4" t="s">
        <v>766</v>
      </c>
      <c r="C202" s="6">
        <f t="shared" si="6"/>
        <v>110.9</v>
      </c>
      <c r="D202" s="6">
        <f t="shared" si="7"/>
        <v>10.900000000000006</v>
      </c>
    </row>
    <row r="203" spans="1:4">
      <c r="A203" s="3">
        <v>44500</v>
      </c>
      <c r="B203" s="4" t="s">
        <v>645</v>
      </c>
      <c r="C203" s="6">
        <f t="shared" si="6"/>
        <v>102.1</v>
      </c>
      <c r="D203" s="6">
        <f t="shared" si="7"/>
        <v>2.0999999999999943</v>
      </c>
    </row>
    <row r="204" spans="1:4">
      <c r="A204" s="2">
        <v>44530</v>
      </c>
      <c r="B204" s="4" t="s">
        <v>767</v>
      </c>
      <c r="C204" s="6">
        <f t="shared" si="6"/>
        <v>104.9</v>
      </c>
      <c r="D204" s="6">
        <f t="shared" si="7"/>
        <v>4.9000000000000057</v>
      </c>
    </row>
    <row r="205" spans="1:4">
      <c r="A205" s="3">
        <v>44561</v>
      </c>
      <c r="B205" s="4" t="s">
        <v>679</v>
      </c>
      <c r="C205" s="6">
        <f t="shared" si="6"/>
        <v>96.8</v>
      </c>
      <c r="D205" s="6">
        <f t="shared" si="7"/>
        <v>-3.2000000000000028</v>
      </c>
    </row>
    <row r="206" spans="1:4">
      <c r="A206" s="2">
        <v>44592</v>
      </c>
      <c r="B206" s="4" t="s">
        <v>749</v>
      </c>
      <c r="C206" s="6">
        <f t="shared" si="6"/>
        <v>96.3</v>
      </c>
      <c r="D206" s="6">
        <f t="shared" si="7"/>
        <v>-3.7000000000000028</v>
      </c>
    </row>
    <row r="207" spans="1:4">
      <c r="A207" s="3">
        <v>44620</v>
      </c>
      <c r="B207" s="4" t="s">
        <v>761</v>
      </c>
      <c r="C207" s="6">
        <f t="shared" si="6"/>
        <v>103.4</v>
      </c>
      <c r="D207" s="6">
        <f t="shared" si="7"/>
        <v>3.4000000000000057</v>
      </c>
    </row>
    <row r="208" spans="1:4">
      <c r="A208" s="2">
        <v>44651</v>
      </c>
      <c r="B208" s="4" t="s">
        <v>768</v>
      </c>
      <c r="C208" s="6">
        <f t="shared" si="6"/>
        <v>116.3</v>
      </c>
      <c r="D208" s="6">
        <f t="shared" si="7"/>
        <v>16.299999999999997</v>
      </c>
    </row>
    <row r="209" spans="1:4">
      <c r="A209" s="3">
        <v>44681</v>
      </c>
      <c r="B209" s="4" t="s">
        <v>769</v>
      </c>
      <c r="C209" s="6">
        <f t="shared" si="6"/>
        <v>88.3</v>
      </c>
      <c r="D209" s="6">
        <f t="shared" si="7"/>
        <v>-11.700000000000003</v>
      </c>
    </row>
    <row r="210" spans="1:4">
      <c r="A210" s="2">
        <v>44712</v>
      </c>
      <c r="B210" s="4" t="s">
        <v>770</v>
      </c>
      <c r="C210" s="6">
        <f t="shared" si="6"/>
        <v>101.3</v>
      </c>
      <c r="D210" s="6">
        <f t="shared" si="7"/>
        <v>1.2999999999999972</v>
      </c>
    </row>
    <row r="211" spans="1:4">
      <c r="A211" s="3">
        <v>44742</v>
      </c>
      <c r="B211" s="4" t="s">
        <v>639</v>
      </c>
      <c r="C211" s="6">
        <f t="shared" si="6"/>
        <v>99.6</v>
      </c>
      <c r="D211" s="6">
        <f t="shared" si="7"/>
        <v>-0.40000000000000568</v>
      </c>
    </row>
    <row r="212" spans="1:4">
      <c r="A212" s="2">
        <v>44773</v>
      </c>
      <c r="B212" s="4" t="s">
        <v>771</v>
      </c>
      <c r="C212" s="6">
        <f t="shared" si="6"/>
        <v>93.3</v>
      </c>
      <c r="D212" s="6">
        <f t="shared" si="7"/>
        <v>-6.7000000000000028</v>
      </c>
    </row>
    <row r="213" spans="1:4">
      <c r="A213" s="3">
        <v>44804</v>
      </c>
      <c r="B213" s="4" t="s">
        <v>662</v>
      </c>
      <c r="C213" s="6">
        <f t="shared" si="6"/>
        <v>100.7</v>
      </c>
      <c r="D213" s="6">
        <f t="shared" si="7"/>
        <v>0.70000000000000284</v>
      </c>
    </row>
    <row r="214" spans="1:4">
      <c r="A214" s="2">
        <v>44834</v>
      </c>
      <c r="B214" s="4" t="s">
        <v>772</v>
      </c>
      <c r="C214" s="6">
        <f t="shared" si="6"/>
        <v>109.2</v>
      </c>
      <c r="D214" s="6">
        <f t="shared" si="7"/>
        <v>9.2000000000000028</v>
      </c>
    </row>
    <row r="215" spans="1:4">
      <c r="A215" s="3">
        <v>44865</v>
      </c>
      <c r="B215" s="4" t="s">
        <v>773</v>
      </c>
      <c r="C215" s="6">
        <f t="shared" si="6"/>
        <v>99</v>
      </c>
      <c r="D215" s="6">
        <f t="shared" si="7"/>
        <v>-1</v>
      </c>
    </row>
    <row r="216" spans="1:4">
      <c r="A216" s="2">
        <v>44895</v>
      </c>
      <c r="B216" s="4" t="s">
        <v>654</v>
      </c>
      <c r="C216" s="6">
        <f t="shared" si="6"/>
        <v>102.6</v>
      </c>
      <c r="D216" s="6">
        <f t="shared" si="7"/>
        <v>2.5999999999999943</v>
      </c>
    </row>
    <row r="217" spans="1:4">
      <c r="A217" s="3">
        <v>44926</v>
      </c>
      <c r="B217" s="4" t="s">
        <v>774</v>
      </c>
      <c r="C217" s="6">
        <f t="shared" si="6"/>
        <v>93.6</v>
      </c>
      <c r="D217" s="6">
        <f t="shared" si="7"/>
        <v>-6.4000000000000057</v>
      </c>
    </row>
    <row r="218" spans="1:4">
      <c r="A218" s="2">
        <v>44957</v>
      </c>
      <c r="B218" s="4" t="s">
        <v>775</v>
      </c>
      <c r="C218" s="6">
        <f t="shared" si="6"/>
        <v>97</v>
      </c>
      <c r="D218" s="6">
        <f t="shared" si="7"/>
        <v>-3</v>
      </c>
    </row>
    <row r="219" spans="1:4">
      <c r="A219" s="3">
        <v>44985</v>
      </c>
      <c r="B219" s="4" t="s">
        <v>776</v>
      </c>
      <c r="C219" s="6">
        <f t="shared" si="6"/>
        <v>100.4</v>
      </c>
      <c r="D219" s="6">
        <f t="shared" si="7"/>
        <v>0.40000000000000568</v>
      </c>
    </row>
    <row r="220" spans="1:4">
      <c r="A220" s="2">
        <v>45016</v>
      </c>
      <c r="B220" s="4" t="s">
        <v>777</v>
      </c>
      <c r="C220" s="6">
        <f t="shared" si="6"/>
        <v>113.8</v>
      </c>
      <c r="D220" s="6">
        <f t="shared" si="7"/>
        <v>13.799999999999997</v>
      </c>
    </row>
    <row r="221" spans="1:4">
      <c r="A221" s="3">
        <v>45046</v>
      </c>
      <c r="B221" s="4" t="s">
        <v>778</v>
      </c>
      <c r="C221" s="6">
        <f t="shared" si="6"/>
        <v>85.8</v>
      </c>
      <c r="D221" s="6">
        <f t="shared" si="7"/>
        <v>-14.200000000000003</v>
      </c>
    </row>
    <row r="222" spans="1:4">
      <c r="A222" s="2">
        <v>45077</v>
      </c>
      <c r="B222" s="4" t="s">
        <v>779</v>
      </c>
      <c r="C222" s="6">
        <f t="shared" si="6"/>
        <v>104.7</v>
      </c>
      <c r="D222" s="6">
        <f t="shared" si="7"/>
        <v>4.7000000000000028</v>
      </c>
    </row>
    <row r="223" spans="1:4">
      <c r="A223" s="3">
        <v>45107</v>
      </c>
      <c r="B223" s="4" t="s">
        <v>721</v>
      </c>
      <c r="C223" s="6">
        <f t="shared" si="6"/>
        <v>101.4</v>
      </c>
      <c r="D223" s="6">
        <f t="shared" si="7"/>
        <v>1.4000000000000057</v>
      </c>
    </row>
    <row r="224" spans="1:4">
      <c r="A224" s="2">
        <v>45138</v>
      </c>
      <c r="B224" s="4" t="s">
        <v>780</v>
      </c>
      <c r="C224" s="6">
        <f t="shared" si="6"/>
        <v>92.2</v>
      </c>
      <c r="D224" s="6">
        <f t="shared" si="7"/>
        <v>-7.7999999999999972</v>
      </c>
    </row>
    <row r="225" spans="1:4">
      <c r="A225" s="3">
        <v>45169</v>
      </c>
      <c r="B225" s="4" t="s">
        <v>781</v>
      </c>
      <c r="C225" s="6">
        <f t="shared" si="6"/>
        <v>101.2</v>
      </c>
      <c r="D225" s="6">
        <f t="shared" si="7"/>
        <v>1.2000000000000028</v>
      </c>
    </row>
    <row r="226" spans="1:4">
      <c r="A226" s="2">
        <v>45199</v>
      </c>
      <c r="B226" s="4" t="s">
        <v>782</v>
      </c>
      <c r="C226" s="6">
        <f t="shared" si="6"/>
        <v>108</v>
      </c>
      <c r="D226" s="6">
        <f t="shared" si="7"/>
        <v>8</v>
      </c>
    </row>
    <row r="227" spans="1:4">
      <c r="A227" s="3">
        <v>45230</v>
      </c>
      <c r="B227" s="4" t="s">
        <v>660</v>
      </c>
      <c r="C227" s="6">
        <f t="shared" si="6"/>
        <v>104.4</v>
      </c>
      <c r="D227" s="6">
        <f t="shared" si="7"/>
        <v>4.4000000000000057</v>
      </c>
    </row>
    <row r="228" spans="1:4">
      <c r="A228" s="2">
        <v>45260</v>
      </c>
      <c r="B228" s="4" t="s">
        <v>783</v>
      </c>
      <c r="C228" s="6">
        <f t="shared" si="6"/>
        <v>100.3</v>
      </c>
      <c r="D228" s="6">
        <f t="shared" si="7"/>
        <v>0.29999999999999716</v>
      </c>
    </row>
    <row r="229" spans="1:4">
      <c r="A229" s="3">
        <v>45291</v>
      </c>
      <c r="B229" s="4" t="s">
        <v>784</v>
      </c>
      <c r="C229" s="6">
        <f t="shared" si="6"/>
        <v>90.5</v>
      </c>
      <c r="D229" s="6">
        <f t="shared" si="7"/>
        <v>-9.5</v>
      </c>
    </row>
    <row r="230" spans="1:4">
      <c r="A230" s="2">
        <v>45322</v>
      </c>
      <c r="B230" s="4" t="s">
        <v>719</v>
      </c>
      <c r="C230" s="6">
        <f t="shared" si="6"/>
        <v>103.6</v>
      </c>
      <c r="D230" s="6">
        <f t="shared" si="7"/>
        <v>3.5999999999999943</v>
      </c>
    </row>
    <row r="231" spans="1:4">
      <c r="A231" s="3">
        <v>45351</v>
      </c>
      <c r="B231" s="4" t="s">
        <v>662</v>
      </c>
      <c r="C231" s="6">
        <f t="shared" si="6"/>
        <v>100.7</v>
      </c>
      <c r="D231" s="6">
        <f t="shared" si="7"/>
        <v>0.70000000000000284</v>
      </c>
    </row>
    <row r="232" spans="1:4">
      <c r="A232" s="2">
        <v>45382</v>
      </c>
      <c r="B232" s="4" t="s">
        <v>785</v>
      </c>
      <c r="C232" s="6">
        <f t="shared" si="6"/>
        <v>103.9</v>
      </c>
      <c r="D232" s="6">
        <f t="shared" si="7"/>
        <v>3.9000000000000057</v>
      </c>
    </row>
    <row r="233" spans="1:4">
      <c r="A233" s="3">
        <v>45412</v>
      </c>
      <c r="B233" s="4" t="s">
        <v>745</v>
      </c>
      <c r="C233" s="6">
        <f t="shared" si="6"/>
        <v>97.7</v>
      </c>
      <c r="D233" s="6">
        <f t="shared" si="7"/>
        <v>-2.2999999999999972</v>
      </c>
    </row>
    <row r="234" spans="1:4">
      <c r="A234" s="2">
        <v>45443</v>
      </c>
      <c r="B234" s="4" t="s">
        <v>763</v>
      </c>
      <c r="C234" s="6">
        <f t="shared" si="6"/>
        <v>95.5</v>
      </c>
      <c r="D234" s="6">
        <f t="shared" si="7"/>
        <v>-4.5</v>
      </c>
    </row>
    <row r="235" spans="1:4">
      <c r="A235" s="3">
        <v>45473</v>
      </c>
      <c r="B235" s="4" t="s">
        <v>714</v>
      </c>
      <c r="C235" s="6">
        <f t="shared" si="6"/>
        <v>103</v>
      </c>
      <c r="D235" s="6">
        <f t="shared" si="7"/>
        <v>3</v>
      </c>
    </row>
    <row r="236" spans="1:4">
      <c r="A236" s="2">
        <v>45504</v>
      </c>
      <c r="B236" s="4" t="s">
        <v>775</v>
      </c>
      <c r="C236" s="6">
        <f t="shared" si="6"/>
        <v>97</v>
      </c>
      <c r="D236" s="6">
        <f t="shared" si="7"/>
        <v>-3</v>
      </c>
    </row>
    <row r="237" spans="1:4">
      <c r="A237" s="3">
        <v>45535</v>
      </c>
      <c r="B237" s="4" t="s">
        <v>631</v>
      </c>
      <c r="C237" s="6">
        <f t="shared" si="6"/>
        <v>95.1</v>
      </c>
      <c r="D237" s="6">
        <f t="shared" si="7"/>
        <v>-4.9000000000000057</v>
      </c>
    </row>
    <row r="238" spans="1:4">
      <c r="A238" s="2">
        <v>45565</v>
      </c>
      <c r="B238" s="4" t="s">
        <v>786</v>
      </c>
      <c r="C238" s="6">
        <f t="shared" si="6"/>
        <v>108.8</v>
      </c>
      <c r="D238" s="6">
        <f t="shared" si="7"/>
        <v>8.7999999999999972</v>
      </c>
    </row>
    <row r="239" spans="1:4">
      <c r="A239" s="3">
        <v>45596</v>
      </c>
      <c r="B239" s="4" t="s">
        <v>635</v>
      </c>
      <c r="C239" s="6">
        <f t="shared" si="6"/>
        <v>109.9</v>
      </c>
      <c r="D239" s="6">
        <f t="shared" si="7"/>
        <v>9.9000000000000057</v>
      </c>
    </row>
    <row r="240" spans="1:4">
      <c r="A240" s="2">
        <v>45626</v>
      </c>
      <c r="B240" s="4" t="s">
        <v>787</v>
      </c>
      <c r="C240" s="6">
        <f t="shared" si="6"/>
        <v>94.7</v>
      </c>
      <c r="D240" s="6">
        <f t="shared" si="7"/>
        <v>-5.2999999999999972</v>
      </c>
    </row>
    <row r="241" spans="1:4">
      <c r="A241" s="3">
        <v>45657</v>
      </c>
      <c r="B241" s="4" t="s">
        <v>729</v>
      </c>
      <c r="C241" s="6">
        <f t="shared" si="6"/>
        <v>92.1</v>
      </c>
      <c r="D241" s="6">
        <f t="shared" si="7"/>
        <v>-7.9000000000000057</v>
      </c>
    </row>
    <row r="242" spans="1:4">
      <c r="A242" s="2">
        <v>45688</v>
      </c>
      <c r="B242" s="4" t="s">
        <v>643</v>
      </c>
      <c r="C242" s="6">
        <f t="shared" si="6"/>
        <v>102.5</v>
      </c>
      <c r="D242" s="6">
        <f t="shared" si="7"/>
        <v>2.5</v>
      </c>
    </row>
    <row r="243" spans="1:4">
      <c r="A243" s="3">
        <v>45716</v>
      </c>
      <c r="B243" s="5" t="s">
        <v>788</v>
      </c>
      <c r="C243" s="6">
        <f t="shared" si="6"/>
        <v>99.7</v>
      </c>
      <c r="D243" s="6">
        <f t="shared" si="7"/>
        <v>-0.29999999999999716</v>
      </c>
    </row>
    <row r="244" spans="1:4">
      <c r="A244" s="2">
        <v>45747</v>
      </c>
      <c r="B244" s="4" t="s">
        <v>646</v>
      </c>
      <c r="C244" s="6">
        <f t="shared" si="6"/>
        <v>108.6</v>
      </c>
      <c r="D244" s="6">
        <f t="shared" si="7"/>
        <v>8.5999999999999943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2B7AA-C0C6-422A-887D-B185E4648812}">
  <dimension ref="A1:E303"/>
  <sheetViews>
    <sheetView workbookViewId="0">
      <selection activeCell="D1" sqref="D1:E1"/>
    </sheetView>
  </sheetViews>
  <sheetFormatPr defaultRowHeight="15"/>
  <cols>
    <col min="1" max="1" width="10.140625" bestFit="1" customWidth="1"/>
    <col min="4" max="5" width="9.5703125" bestFit="1" customWidth="1"/>
  </cols>
  <sheetData>
    <row r="1" spans="1:5">
      <c r="A1" t="s">
        <v>0</v>
      </c>
      <c r="B1" t="s">
        <v>19</v>
      </c>
      <c r="C1" t="s">
        <v>20</v>
      </c>
      <c r="D1" t="s">
        <v>19</v>
      </c>
      <c r="E1" t="s">
        <v>20</v>
      </c>
    </row>
    <row r="2" spans="1:5">
      <c r="A2" s="2">
        <v>36556</v>
      </c>
      <c r="B2" s="9" t="s">
        <v>21</v>
      </c>
      <c r="C2" s="9" t="s">
        <v>322</v>
      </c>
      <c r="D2" s="6">
        <f>B2*1</f>
        <v>14440.8</v>
      </c>
      <c r="E2" s="6">
        <f>C2*1</f>
        <v>9341.2999999999993</v>
      </c>
    </row>
    <row r="3" spans="1:5">
      <c r="A3" s="3">
        <v>36585</v>
      </c>
      <c r="B3" s="9" t="s">
        <v>22</v>
      </c>
      <c r="C3" s="9" t="s">
        <v>323</v>
      </c>
      <c r="D3" s="6">
        <f t="shared" ref="D3:D66" si="0">B3*1</f>
        <v>16351.6</v>
      </c>
      <c r="E3" s="6">
        <f t="shared" ref="E3:E66" si="1">C3*1</f>
        <v>10647.4</v>
      </c>
    </row>
    <row r="4" spans="1:5">
      <c r="A4" s="2">
        <v>36616</v>
      </c>
      <c r="B4" s="9" t="s">
        <v>23</v>
      </c>
      <c r="C4" s="9" t="s">
        <v>324</v>
      </c>
      <c r="D4" s="6">
        <f t="shared" si="0"/>
        <v>17884.3</v>
      </c>
      <c r="E4" s="6">
        <f t="shared" si="1"/>
        <v>11228.3</v>
      </c>
    </row>
    <row r="5" spans="1:5">
      <c r="A5" s="3">
        <v>36646</v>
      </c>
      <c r="B5" s="9" t="s">
        <v>24</v>
      </c>
      <c r="C5" s="9" t="s">
        <v>325</v>
      </c>
      <c r="D5" s="6">
        <f t="shared" si="0"/>
        <v>16446.099999999999</v>
      </c>
      <c r="E5" s="6">
        <f t="shared" si="1"/>
        <v>10471.200000000001</v>
      </c>
    </row>
    <row r="6" spans="1:5">
      <c r="A6" s="2">
        <v>36677</v>
      </c>
      <c r="B6" s="9" t="s">
        <v>25</v>
      </c>
      <c r="C6" s="9" t="s">
        <v>326</v>
      </c>
      <c r="D6" s="6">
        <f t="shared" si="0"/>
        <v>19171.599999999999</v>
      </c>
      <c r="E6" s="6">
        <f t="shared" si="1"/>
        <v>10908.7</v>
      </c>
    </row>
    <row r="7" spans="1:5">
      <c r="A7" s="3">
        <v>36707</v>
      </c>
      <c r="B7" s="9" t="s">
        <v>26</v>
      </c>
      <c r="C7" s="9" t="s">
        <v>327</v>
      </c>
      <c r="D7" s="6">
        <f t="shared" si="0"/>
        <v>17958.599999999999</v>
      </c>
      <c r="E7" s="6">
        <f t="shared" si="1"/>
        <v>11470.9</v>
      </c>
    </row>
    <row r="8" spans="1:5">
      <c r="A8" s="2">
        <v>36738</v>
      </c>
      <c r="B8" s="9" t="s">
        <v>27</v>
      </c>
      <c r="C8" s="9" t="s">
        <v>328</v>
      </c>
      <c r="D8" s="6">
        <f t="shared" si="0"/>
        <v>17786.400000000001</v>
      </c>
      <c r="E8" s="6">
        <f t="shared" si="1"/>
        <v>11550.4</v>
      </c>
    </row>
    <row r="9" spans="1:5">
      <c r="A9" s="3">
        <v>36769</v>
      </c>
      <c r="B9" s="9" t="s">
        <v>28</v>
      </c>
      <c r="C9" s="9" t="s">
        <v>329</v>
      </c>
      <c r="D9" s="6">
        <f t="shared" si="0"/>
        <v>16692.8</v>
      </c>
      <c r="E9" s="6">
        <f t="shared" si="1"/>
        <v>11193.9</v>
      </c>
    </row>
    <row r="10" spans="1:5">
      <c r="A10" s="2">
        <v>36799</v>
      </c>
      <c r="B10" s="9" t="s">
        <v>29</v>
      </c>
      <c r="C10" s="9" t="s">
        <v>330</v>
      </c>
      <c r="D10" s="6">
        <f t="shared" si="0"/>
        <v>18052.099999999999</v>
      </c>
      <c r="E10" s="6">
        <f t="shared" si="1"/>
        <v>12367.8</v>
      </c>
    </row>
    <row r="11" spans="1:5">
      <c r="A11" s="3">
        <v>36830</v>
      </c>
      <c r="B11" s="9" t="s">
        <v>30</v>
      </c>
      <c r="C11" s="9" t="s">
        <v>331</v>
      </c>
      <c r="D11" s="6">
        <f t="shared" si="0"/>
        <v>20579.599999999999</v>
      </c>
      <c r="E11" s="6">
        <f t="shared" si="1"/>
        <v>13605.1</v>
      </c>
    </row>
    <row r="12" spans="1:5">
      <c r="A12" s="2">
        <v>36860</v>
      </c>
      <c r="B12" s="9" t="s">
        <v>31</v>
      </c>
      <c r="C12" s="9" t="s">
        <v>332</v>
      </c>
      <c r="D12" s="6">
        <f t="shared" si="0"/>
        <v>19130.900000000001</v>
      </c>
      <c r="E12" s="6">
        <f t="shared" si="1"/>
        <v>13118.5</v>
      </c>
    </row>
    <row r="13" spans="1:5">
      <c r="A13" s="3">
        <v>36891</v>
      </c>
      <c r="B13" s="9" t="s">
        <v>32</v>
      </c>
      <c r="C13" s="9" t="s">
        <v>333</v>
      </c>
      <c r="D13" s="6">
        <f t="shared" si="0"/>
        <v>18577</v>
      </c>
      <c r="E13" s="6">
        <f t="shared" si="1"/>
        <v>12005.2</v>
      </c>
    </row>
    <row r="14" spans="1:5">
      <c r="A14" s="2">
        <v>36922</v>
      </c>
      <c r="B14" s="9" t="s">
        <v>33</v>
      </c>
      <c r="C14" s="9" t="s">
        <v>334</v>
      </c>
      <c r="D14" s="6">
        <f t="shared" si="0"/>
        <v>16538</v>
      </c>
      <c r="E14" s="6">
        <f t="shared" si="1"/>
        <v>12139.4</v>
      </c>
    </row>
    <row r="15" spans="1:5">
      <c r="A15" s="3">
        <v>36950</v>
      </c>
      <c r="B15" s="9" t="s">
        <v>34</v>
      </c>
      <c r="C15" s="9" t="s">
        <v>335</v>
      </c>
      <c r="D15" s="6">
        <f t="shared" si="0"/>
        <v>15843.6</v>
      </c>
      <c r="E15" s="6">
        <f t="shared" si="1"/>
        <v>12084.5</v>
      </c>
    </row>
    <row r="16" spans="1:5">
      <c r="A16" s="2">
        <v>36981</v>
      </c>
      <c r="B16" s="9" t="s">
        <v>35</v>
      </c>
      <c r="C16" s="9" t="s">
        <v>336</v>
      </c>
      <c r="D16" s="6">
        <f t="shared" si="0"/>
        <v>18392</v>
      </c>
      <c r="E16" s="6">
        <f t="shared" si="1"/>
        <v>13249.2</v>
      </c>
    </row>
    <row r="17" spans="1:5">
      <c r="A17" s="3">
        <v>37011</v>
      </c>
      <c r="B17" s="9" t="s">
        <v>36</v>
      </c>
      <c r="C17" s="9" t="s">
        <v>337</v>
      </c>
      <c r="D17" s="6">
        <f t="shared" si="0"/>
        <v>16675.400000000001</v>
      </c>
      <c r="E17" s="6">
        <f t="shared" si="1"/>
        <v>11597.3</v>
      </c>
    </row>
    <row r="18" spans="1:5">
      <c r="A18" s="2">
        <v>37042</v>
      </c>
      <c r="B18" s="9" t="s">
        <v>37</v>
      </c>
      <c r="C18" s="9" t="s">
        <v>338</v>
      </c>
      <c r="D18" s="6">
        <f t="shared" si="0"/>
        <v>16827.900000000001</v>
      </c>
      <c r="E18" s="6">
        <f t="shared" si="1"/>
        <v>11652.1</v>
      </c>
    </row>
    <row r="19" spans="1:5">
      <c r="A19" s="3">
        <v>37072</v>
      </c>
      <c r="B19" s="9" t="s">
        <v>38</v>
      </c>
      <c r="C19" s="9" t="s">
        <v>339</v>
      </c>
      <c r="D19" s="6">
        <f t="shared" si="0"/>
        <v>16170.8</v>
      </c>
      <c r="E19" s="6">
        <f t="shared" si="1"/>
        <v>11325.2</v>
      </c>
    </row>
    <row r="20" spans="1:5">
      <c r="A20" s="2">
        <v>37103</v>
      </c>
      <c r="B20" s="9" t="s">
        <v>39</v>
      </c>
      <c r="C20" s="9" t="s">
        <v>340</v>
      </c>
      <c r="D20" s="6">
        <f t="shared" si="0"/>
        <v>17383.900000000001</v>
      </c>
      <c r="E20" s="6">
        <f t="shared" si="1"/>
        <v>11564</v>
      </c>
    </row>
    <row r="21" spans="1:5">
      <c r="A21" s="3">
        <v>37134</v>
      </c>
      <c r="B21" s="9" t="s">
        <v>40</v>
      </c>
      <c r="C21" s="9" t="s">
        <v>341</v>
      </c>
      <c r="D21" s="6">
        <f t="shared" si="0"/>
        <v>16878.3</v>
      </c>
      <c r="E21" s="6">
        <f t="shared" si="1"/>
        <v>12422.5</v>
      </c>
    </row>
    <row r="22" spans="1:5">
      <c r="A22" s="2">
        <v>37164</v>
      </c>
      <c r="B22" s="9" t="s">
        <v>41</v>
      </c>
      <c r="C22" s="9" t="s">
        <v>342</v>
      </c>
      <c r="D22" s="6">
        <f t="shared" si="0"/>
        <v>17801.599999999999</v>
      </c>
      <c r="E22" s="6">
        <f t="shared" si="1"/>
        <v>13976</v>
      </c>
    </row>
    <row r="23" spans="1:5">
      <c r="A23" s="3">
        <v>37195</v>
      </c>
      <c r="B23" s="9" t="s">
        <v>42</v>
      </c>
      <c r="C23" s="9" t="s">
        <v>343</v>
      </c>
      <c r="D23" s="6">
        <f t="shared" si="0"/>
        <v>19984.900000000001</v>
      </c>
      <c r="E23" s="6">
        <f t="shared" si="1"/>
        <v>14748.1</v>
      </c>
    </row>
    <row r="24" spans="1:5">
      <c r="A24" s="2">
        <v>37225</v>
      </c>
      <c r="B24" s="9" t="s">
        <v>43</v>
      </c>
      <c r="C24" s="9" t="s">
        <v>344</v>
      </c>
      <c r="D24" s="6">
        <f t="shared" si="0"/>
        <v>17776</v>
      </c>
      <c r="E24" s="6">
        <f t="shared" si="1"/>
        <v>12699.6</v>
      </c>
    </row>
    <row r="25" spans="1:5">
      <c r="A25" s="3">
        <v>37256</v>
      </c>
      <c r="B25" s="9" t="s">
        <v>44</v>
      </c>
      <c r="C25" s="9" t="s">
        <v>345</v>
      </c>
      <c r="D25" s="6">
        <f t="shared" si="0"/>
        <v>15980.4</v>
      </c>
      <c r="E25" s="6">
        <f t="shared" si="1"/>
        <v>10656.6</v>
      </c>
    </row>
    <row r="26" spans="1:5">
      <c r="A26" s="2">
        <v>37287</v>
      </c>
      <c r="B26" s="9" t="s">
        <v>45</v>
      </c>
      <c r="C26" s="9" t="s">
        <v>346</v>
      </c>
      <c r="D26" s="6">
        <f t="shared" si="0"/>
        <v>14823.2</v>
      </c>
      <c r="E26" s="6">
        <f t="shared" si="1"/>
        <v>11819.4</v>
      </c>
    </row>
    <row r="27" spans="1:5">
      <c r="A27" s="3">
        <v>37315</v>
      </c>
      <c r="B27" s="9" t="s">
        <v>46</v>
      </c>
      <c r="C27" s="9" t="s">
        <v>347</v>
      </c>
      <c r="D27" s="6">
        <f t="shared" si="0"/>
        <v>16241.3</v>
      </c>
      <c r="E27" s="6">
        <f t="shared" si="1"/>
        <v>11958.4</v>
      </c>
    </row>
    <row r="28" spans="1:5">
      <c r="A28" s="2">
        <v>37346</v>
      </c>
      <c r="B28" s="9" t="s">
        <v>47</v>
      </c>
      <c r="C28" s="9" t="s">
        <v>348</v>
      </c>
      <c r="D28" s="6">
        <f t="shared" si="0"/>
        <v>17929.400000000001</v>
      </c>
      <c r="E28" s="6">
        <f t="shared" si="1"/>
        <v>13443.6</v>
      </c>
    </row>
    <row r="29" spans="1:5">
      <c r="A29" s="3">
        <v>37376</v>
      </c>
      <c r="B29" s="9" t="s">
        <v>48</v>
      </c>
      <c r="C29" s="9" t="s">
        <v>349</v>
      </c>
      <c r="D29" s="6">
        <f t="shared" si="0"/>
        <v>19231.2</v>
      </c>
      <c r="E29" s="6">
        <f t="shared" si="1"/>
        <v>13456.6</v>
      </c>
    </row>
    <row r="30" spans="1:5">
      <c r="A30" s="2">
        <v>37407</v>
      </c>
      <c r="B30" s="9" t="s">
        <v>49</v>
      </c>
      <c r="C30" s="9" t="s">
        <v>350</v>
      </c>
      <c r="D30" s="6">
        <f t="shared" si="0"/>
        <v>17565.2</v>
      </c>
      <c r="E30" s="6">
        <f t="shared" si="1"/>
        <v>12467.8</v>
      </c>
    </row>
    <row r="31" spans="1:5">
      <c r="A31" s="3">
        <v>37437</v>
      </c>
      <c r="B31" s="9" t="s">
        <v>50</v>
      </c>
      <c r="C31" s="9" t="s">
        <v>351</v>
      </c>
      <c r="D31" s="6">
        <f t="shared" si="0"/>
        <v>18453.599999999999</v>
      </c>
      <c r="E31" s="6">
        <f t="shared" si="1"/>
        <v>13787</v>
      </c>
    </row>
    <row r="32" spans="1:5">
      <c r="A32" s="2">
        <v>37468</v>
      </c>
      <c r="B32" s="9" t="s">
        <v>51</v>
      </c>
      <c r="C32" s="9" t="s">
        <v>352</v>
      </c>
      <c r="D32" s="6">
        <f t="shared" si="0"/>
        <v>20387.599999999999</v>
      </c>
      <c r="E32" s="6">
        <f t="shared" si="1"/>
        <v>14428.1</v>
      </c>
    </row>
    <row r="33" spans="1:5">
      <c r="A33" s="3">
        <v>37499</v>
      </c>
      <c r="B33" s="9" t="s">
        <v>52</v>
      </c>
      <c r="C33" s="9" t="s">
        <v>353</v>
      </c>
      <c r="D33" s="6">
        <f t="shared" si="0"/>
        <v>17997.8</v>
      </c>
      <c r="E33" s="6">
        <f t="shared" si="1"/>
        <v>13967.5</v>
      </c>
    </row>
    <row r="34" spans="1:5">
      <c r="A34" s="2">
        <v>37529</v>
      </c>
      <c r="B34" s="9" t="s">
        <v>53</v>
      </c>
      <c r="C34" s="9" t="s">
        <v>354</v>
      </c>
      <c r="D34" s="6">
        <f t="shared" si="0"/>
        <v>20205.099999999999</v>
      </c>
      <c r="E34" s="6">
        <f t="shared" si="1"/>
        <v>15314.8</v>
      </c>
    </row>
    <row r="35" spans="1:5">
      <c r="A35" s="3">
        <v>37560</v>
      </c>
      <c r="B35" s="9" t="s">
        <v>54</v>
      </c>
      <c r="C35" s="9" t="s">
        <v>355</v>
      </c>
      <c r="D35" s="6">
        <f t="shared" si="0"/>
        <v>22304.7</v>
      </c>
      <c r="E35" s="6">
        <f t="shared" si="1"/>
        <v>17530.2</v>
      </c>
    </row>
    <row r="36" spans="1:5">
      <c r="A36" s="2">
        <v>37590</v>
      </c>
      <c r="B36" s="9" t="s">
        <v>55</v>
      </c>
      <c r="C36" s="9" t="s">
        <v>356</v>
      </c>
      <c r="D36" s="6">
        <f t="shared" si="0"/>
        <v>20389.099999999999</v>
      </c>
      <c r="E36" s="6">
        <f t="shared" si="1"/>
        <v>15434.9</v>
      </c>
    </row>
    <row r="37" spans="1:5">
      <c r="A37" s="3">
        <v>37621</v>
      </c>
      <c r="B37" s="9" t="s">
        <v>56</v>
      </c>
      <c r="C37" s="9" t="s">
        <v>357</v>
      </c>
      <c r="D37" s="6">
        <f t="shared" si="0"/>
        <v>19287.599999999999</v>
      </c>
      <c r="E37" s="6">
        <f t="shared" si="1"/>
        <v>13729.8</v>
      </c>
    </row>
    <row r="38" spans="1:5">
      <c r="A38" s="2">
        <v>37652</v>
      </c>
      <c r="B38" s="9" t="s">
        <v>57</v>
      </c>
      <c r="C38" s="9" t="s">
        <v>358</v>
      </c>
      <c r="D38" s="6">
        <f t="shared" si="0"/>
        <v>17924.3</v>
      </c>
      <c r="E38" s="6">
        <f t="shared" si="1"/>
        <v>13850.5</v>
      </c>
    </row>
    <row r="39" spans="1:5">
      <c r="A39" s="3">
        <v>37680</v>
      </c>
      <c r="B39" s="9" t="s">
        <v>58</v>
      </c>
      <c r="C39" s="9" t="s">
        <v>359</v>
      </c>
      <c r="D39" s="6">
        <f t="shared" si="0"/>
        <v>18644.400000000001</v>
      </c>
      <c r="E39" s="6">
        <f t="shared" si="1"/>
        <v>14603.6</v>
      </c>
    </row>
    <row r="40" spans="1:5">
      <c r="A40" s="2">
        <v>37711</v>
      </c>
      <c r="B40" s="9" t="s">
        <v>59</v>
      </c>
      <c r="C40" s="9" t="s">
        <v>360</v>
      </c>
      <c r="D40" s="6">
        <f t="shared" si="0"/>
        <v>21774.3</v>
      </c>
      <c r="E40" s="6">
        <f t="shared" si="1"/>
        <v>17026.400000000001</v>
      </c>
    </row>
    <row r="41" spans="1:5">
      <c r="A41" s="3">
        <v>37741</v>
      </c>
      <c r="B41" s="9" t="s">
        <v>60</v>
      </c>
      <c r="C41" s="9" t="s">
        <v>361</v>
      </c>
      <c r="D41" s="6">
        <f t="shared" si="0"/>
        <v>21562.3</v>
      </c>
      <c r="E41" s="6">
        <f t="shared" si="1"/>
        <v>16899.599999999999</v>
      </c>
    </row>
    <row r="42" spans="1:5">
      <c r="A42" s="2">
        <v>37772</v>
      </c>
      <c r="B42" s="9" t="s">
        <v>61</v>
      </c>
      <c r="C42" s="9" t="s">
        <v>362</v>
      </c>
      <c r="D42" s="6">
        <f t="shared" si="0"/>
        <v>21163.4</v>
      </c>
      <c r="E42" s="6">
        <f t="shared" si="1"/>
        <v>16547.599999999999</v>
      </c>
    </row>
    <row r="43" spans="1:5">
      <c r="A43" s="3">
        <v>37802</v>
      </c>
      <c r="B43" s="9" t="s">
        <v>62</v>
      </c>
      <c r="C43" s="9" t="s">
        <v>363</v>
      </c>
      <c r="D43" s="6">
        <f t="shared" si="0"/>
        <v>20456.7</v>
      </c>
      <c r="E43" s="6">
        <f t="shared" si="1"/>
        <v>16658.099999999999</v>
      </c>
    </row>
    <row r="44" spans="1:5">
      <c r="A44" s="2">
        <v>37833</v>
      </c>
      <c r="B44" s="9" t="s">
        <v>63</v>
      </c>
      <c r="C44" s="9" t="s">
        <v>364</v>
      </c>
      <c r="D44" s="6">
        <f t="shared" si="0"/>
        <v>23832.9</v>
      </c>
      <c r="E44" s="6">
        <f t="shared" si="1"/>
        <v>17847.2</v>
      </c>
    </row>
    <row r="45" spans="1:5">
      <c r="A45" s="3">
        <v>37864</v>
      </c>
      <c r="B45" s="9" t="s">
        <v>42</v>
      </c>
      <c r="C45" s="9" t="s">
        <v>365</v>
      </c>
      <c r="D45" s="6">
        <f t="shared" si="0"/>
        <v>19984.900000000001</v>
      </c>
      <c r="E45" s="6">
        <f t="shared" si="1"/>
        <v>15639.7</v>
      </c>
    </row>
    <row r="46" spans="1:5">
      <c r="A46" s="2">
        <v>37894</v>
      </c>
      <c r="B46" s="9" t="s">
        <v>64</v>
      </c>
      <c r="C46" s="9" t="s">
        <v>366</v>
      </c>
      <c r="D46" s="6">
        <f t="shared" si="0"/>
        <v>24857.5</v>
      </c>
      <c r="E46" s="6">
        <f t="shared" si="1"/>
        <v>20195.8</v>
      </c>
    </row>
    <row r="47" spans="1:5">
      <c r="A47" s="3">
        <v>37925</v>
      </c>
      <c r="B47" s="9" t="s">
        <v>65</v>
      </c>
      <c r="C47" s="9" t="s">
        <v>367</v>
      </c>
      <c r="D47" s="6">
        <f t="shared" si="0"/>
        <v>26061.200000000001</v>
      </c>
      <c r="E47" s="6">
        <f t="shared" si="1"/>
        <v>21476.5</v>
      </c>
    </row>
    <row r="48" spans="1:5">
      <c r="A48" s="2">
        <v>37955</v>
      </c>
      <c r="B48" s="9" t="s">
        <v>66</v>
      </c>
      <c r="C48" s="9" t="s">
        <v>368</v>
      </c>
      <c r="D48" s="6">
        <f t="shared" si="0"/>
        <v>24166.5</v>
      </c>
      <c r="E48" s="6">
        <f t="shared" si="1"/>
        <v>19565.8</v>
      </c>
    </row>
    <row r="49" spans="1:5">
      <c r="A49" s="3">
        <v>37986</v>
      </c>
      <c r="B49" s="9" t="s">
        <v>67</v>
      </c>
      <c r="C49" s="9" t="s">
        <v>369</v>
      </c>
      <c r="D49" s="6">
        <f t="shared" si="0"/>
        <v>24705.1</v>
      </c>
      <c r="E49" s="6">
        <f t="shared" si="1"/>
        <v>18633.5</v>
      </c>
    </row>
    <row r="50" spans="1:5">
      <c r="A50" s="2">
        <v>38017</v>
      </c>
      <c r="B50" s="9" t="s">
        <v>68</v>
      </c>
      <c r="C50" s="9" t="s">
        <v>370</v>
      </c>
      <c r="D50" s="6">
        <f t="shared" si="0"/>
        <v>21723.1</v>
      </c>
      <c r="E50" s="6">
        <f t="shared" si="1"/>
        <v>18319.8</v>
      </c>
    </row>
    <row r="51" spans="1:5">
      <c r="A51" s="3">
        <v>38046</v>
      </c>
      <c r="B51" s="9" t="s">
        <v>69</v>
      </c>
      <c r="C51" s="9" t="s">
        <v>371</v>
      </c>
      <c r="D51" s="6">
        <f t="shared" si="0"/>
        <v>22557.599999999999</v>
      </c>
      <c r="E51" s="6">
        <f t="shared" si="1"/>
        <v>20376.3</v>
      </c>
    </row>
    <row r="52" spans="1:5">
      <c r="A52" s="2">
        <v>38077</v>
      </c>
      <c r="B52" s="9" t="s">
        <v>70</v>
      </c>
      <c r="C52" s="9" t="s">
        <v>372</v>
      </c>
      <c r="D52" s="6">
        <f t="shared" si="0"/>
        <v>29929.7</v>
      </c>
      <c r="E52" s="6">
        <f t="shared" si="1"/>
        <v>24302</v>
      </c>
    </row>
    <row r="53" spans="1:5">
      <c r="A53" s="3">
        <v>38107</v>
      </c>
      <c r="B53" s="9" t="s">
        <v>71</v>
      </c>
      <c r="C53" s="9" t="s">
        <v>373</v>
      </c>
      <c r="D53" s="6">
        <f t="shared" si="0"/>
        <v>33166.9</v>
      </c>
      <c r="E53" s="6">
        <f t="shared" si="1"/>
        <v>23908.799999999999</v>
      </c>
    </row>
    <row r="54" spans="1:5">
      <c r="A54" s="2">
        <v>38138</v>
      </c>
      <c r="B54" s="9" t="s">
        <v>72</v>
      </c>
      <c r="C54" s="9" t="s">
        <v>374</v>
      </c>
      <c r="D54" s="6">
        <f t="shared" si="0"/>
        <v>27217.4</v>
      </c>
      <c r="E54" s="6">
        <f t="shared" si="1"/>
        <v>22031</v>
      </c>
    </row>
    <row r="55" spans="1:5">
      <c r="A55" s="3">
        <v>38168</v>
      </c>
      <c r="B55" s="9" t="s">
        <v>73</v>
      </c>
      <c r="C55" s="9" t="s">
        <v>375</v>
      </c>
      <c r="D55" s="6">
        <f t="shared" si="0"/>
        <v>28150.5</v>
      </c>
      <c r="E55" s="6">
        <f t="shared" si="1"/>
        <v>23483.200000000001</v>
      </c>
    </row>
    <row r="56" spans="1:5">
      <c r="A56" s="2">
        <v>38199</v>
      </c>
      <c r="B56" s="9" t="s">
        <v>74</v>
      </c>
      <c r="C56" s="9" t="s">
        <v>376</v>
      </c>
      <c r="D56" s="6">
        <f t="shared" si="0"/>
        <v>26751.200000000001</v>
      </c>
      <c r="E56" s="6">
        <f t="shared" si="1"/>
        <v>21976.7</v>
      </c>
    </row>
    <row r="57" spans="1:5">
      <c r="A57" s="3">
        <v>38230</v>
      </c>
      <c r="B57" s="9" t="s">
        <v>75</v>
      </c>
      <c r="C57" s="9" t="s">
        <v>377</v>
      </c>
      <c r="D57" s="6">
        <f t="shared" si="0"/>
        <v>24990.5</v>
      </c>
      <c r="E57" s="6">
        <f t="shared" si="1"/>
        <v>21180</v>
      </c>
    </row>
    <row r="58" spans="1:5">
      <c r="A58" s="2">
        <v>38260</v>
      </c>
      <c r="B58" s="9" t="s">
        <v>76</v>
      </c>
      <c r="C58" s="9" t="s">
        <v>378</v>
      </c>
      <c r="D58" s="6">
        <f t="shared" si="0"/>
        <v>29481.4</v>
      </c>
      <c r="E58" s="6">
        <f t="shared" si="1"/>
        <v>25557.599999999999</v>
      </c>
    </row>
    <row r="59" spans="1:5">
      <c r="A59" s="3">
        <v>38291</v>
      </c>
      <c r="B59" s="9" t="s">
        <v>77</v>
      </c>
      <c r="C59" s="9" t="s">
        <v>379</v>
      </c>
      <c r="D59" s="6">
        <f t="shared" si="0"/>
        <v>28315.3</v>
      </c>
      <c r="E59" s="6">
        <f t="shared" si="1"/>
        <v>25024.3</v>
      </c>
    </row>
    <row r="60" spans="1:5">
      <c r="A60" s="2">
        <v>38321</v>
      </c>
      <c r="B60" s="9" t="s">
        <v>78</v>
      </c>
      <c r="C60" s="9" t="s">
        <v>380</v>
      </c>
      <c r="D60" s="6">
        <f t="shared" si="0"/>
        <v>27767.7</v>
      </c>
      <c r="E60" s="6">
        <f t="shared" si="1"/>
        <v>24777.3</v>
      </c>
    </row>
    <row r="61" spans="1:5">
      <c r="A61" s="3">
        <v>38352</v>
      </c>
      <c r="B61" s="9" t="s">
        <v>79</v>
      </c>
      <c r="C61" s="9" t="s">
        <v>381</v>
      </c>
      <c r="D61" s="6">
        <f t="shared" si="0"/>
        <v>25545</v>
      </c>
      <c r="E61" s="6">
        <f t="shared" si="1"/>
        <v>21165.4</v>
      </c>
    </row>
    <row r="62" spans="1:5">
      <c r="A62" s="2">
        <v>38383</v>
      </c>
      <c r="B62" s="9" t="s">
        <v>80</v>
      </c>
      <c r="C62" s="9" t="s">
        <v>382</v>
      </c>
      <c r="D62" s="6">
        <f t="shared" si="0"/>
        <v>23019.5</v>
      </c>
      <c r="E62" s="6">
        <f t="shared" si="1"/>
        <v>21225.7</v>
      </c>
    </row>
    <row r="63" spans="1:5">
      <c r="A63" s="3">
        <v>38411</v>
      </c>
      <c r="B63" s="9" t="s">
        <v>81</v>
      </c>
      <c r="C63" s="9" t="s">
        <v>383</v>
      </c>
      <c r="D63" s="6">
        <f t="shared" si="0"/>
        <v>23886.799999999999</v>
      </c>
      <c r="E63" s="6">
        <f t="shared" si="1"/>
        <v>21469.1</v>
      </c>
    </row>
    <row r="64" spans="1:5">
      <c r="A64" s="2">
        <v>38442</v>
      </c>
      <c r="B64" s="9" t="s">
        <v>82</v>
      </c>
      <c r="C64" s="9" t="s">
        <v>384</v>
      </c>
      <c r="D64" s="6">
        <f t="shared" si="0"/>
        <v>26862.2</v>
      </c>
      <c r="E64" s="6">
        <f t="shared" si="1"/>
        <v>23226.400000000001</v>
      </c>
    </row>
    <row r="65" spans="1:5">
      <c r="A65" s="3">
        <v>38472</v>
      </c>
      <c r="B65" s="9" t="s">
        <v>83</v>
      </c>
      <c r="C65" s="9" t="s">
        <v>385</v>
      </c>
      <c r="D65" s="6">
        <f t="shared" si="0"/>
        <v>27559.9</v>
      </c>
      <c r="E65" s="6">
        <f t="shared" si="1"/>
        <v>24603.599999999999</v>
      </c>
    </row>
    <row r="66" spans="1:5">
      <c r="A66" s="2">
        <v>38503</v>
      </c>
      <c r="B66" s="9" t="s">
        <v>84</v>
      </c>
      <c r="C66" s="9" t="s">
        <v>386</v>
      </c>
      <c r="D66" s="6">
        <f t="shared" si="0"/>
        <v>27147.200000000001</v>
      </c>
      <c r="E66" s="6">
        <f t="shared" si="1"/>
        <v>22767.8</v>
      </c>
    </row>
    <row r="67" spans="1:5">
      <c r="A67" s="3">
        <v>38533</v>
      </c>
      <c r="B67" s="9" t="s">
        <v>85</v>
      </c>
      <c r="C67" s="9" t="s">
        <v>387</v>
      </c>
      <c r="D67" s="6">
        <f t="shared" ref="D67:D130" si="2">B67*1</f>
        <v>27954.5</v>
      </c>
      <c r="E67" s="6">
        <f t="shared" ref="E67:E130" si="3">C67*1</f>
        <v>25141.9</v>
      </c>
    </row>
    <row r="68" spans="1:5">
      <c r="A68" s="2">
        <v>38564</v>
      </c>
      <c r="B68" s="9" t="s">
        <v>86</v>
      </c>
      <c r="C68" s="9" t="s">
        <v>388</v>
      </c>
      <c r="D68" s="6">
        <f t="shared" si="2"/>
        <v>26490.400000000001</v>
      </c>
      <c r="E68" s="6">
        <f t="shared" si="3"/>
        <v>23104</v>
      </c>
    </row>
    <row r="69" spans="1:5">
      <c r="A69" s="3">
        <v>38595</v>
      </c>
      <c r="B69" s="9" t="s">
        <v>87</v>
      </c>
      <c r="C69" s="9" t="s">
        <v>389</v>
      </c>
      <c r="D69" s="6">
        <f t="shared" si="2"/>
        <v>26427.8</v>
      </c>
      <c r="E69" s="6">
        <f t="shared" si="3"/>
        <v>22588.9</v>
      </c>
    </row>
    <row r="70" spans="1:5">
      <c r="A70" s="2">
        <v>38625</v>
      </c>
      <c r="B70" s="9" t="s">
        <v>88</v>
      </c>
      <c r="C70" s="9" t="s">
        <v>390</v>
      </c>
      <c r="D70" s="6">
        <f t="shared" si="2"/>
        <v>29625</v>
      </c>
      <c r="E70" s="6">
        <f t="shared" si="3"/>
        <v>26180.5</v>
      </c>
    </row>
    <row r="71" spans="1:5">
      <c r="A71" s="3">
        <v>38656</v>
      </c>
      <c r="B71" s="9" t="s">
        <v>89</v>
      </c>
      <c r="C71" s="9" t="s">
        <v>391</v>
      </c>
      <c r="D71" s="6">
        <f t="shared" si="2"/>
        <v>29936.1</v>
      </c>
      <c r="E71" s="6">
        <f t="shared" si="3"/>
        <v>27243.5</v>
      </c>
    </row>
    <row r="72" spans="1:5">
      <c r="A72" s="2">
        <v>38686</v>
      </c>
      <c r="B72" s="9" t="s">
        <v>90</v>
      </c>
      <c r="C72" s="9" t="s">
        <v>392</v>
      </c>
      <c r="D72" s="6">
        <f t="shared" si="2"/>
        <v>31081.3</v>
      </c>
      <c r="E72" s="6">
        <f t="shared" si="3"/>
        <v>27124.1</v>
      </c>
    </row>
    <row r="73" spans="1:5">
      <c r="A73" s="3">
        <v>38717</v>
      </c>
      <c r="B73" s="9" t="s">
        <v>91</v>
      </c>
      <c r="C73" s="9" t="s">
        <v>393</v>
      </c>
      <c r="D73" s="6">
        <f t="shared" si="2"/>
        <v>28201.3</v>
      </c>
      <c r="E73" s="6">
        <f t="shared" si="3"/>
        <v>24105.3</v>
      </c>
    </row>
    <row r="74" spans="1:5">
      <c r="A74" s="2">
        <v>38748</v>
      </c>
      <c r="B74" s="9" t="s">
        <v>92</v>
      </c>
      <c r="C74" s="9" t="s">
        <v>394</v>
      </c>
      <c r="D74" s="6">
        <f t="shared" si="2"/>
        <v>27428.1</v>
      </c>
      <c r="E74" s="6">
        <f t="shared" si="3"/>
        <v>24577</v>
      </c>
    </row>
    <row r="75" spans="1:5">
      <c r="A75" s="3">
        <v>38776</v>
      </c>
      <c r="B75" s="9" t="s">
        <v>93</v>
      </c>
      <c r="C75" s="9" t="s">
        <v>395</v>
      </c>
      <c r="D75" s="6">
        <f t="shared" si="2"/>
        <v>28094</v>
      </c>
      <c r="E75" s="6">
        <f t="shared" si="3"/>
        <v>24983.4</v>
      </c>
    </row>
    <row r="76" spans="1:5">
      <c r="A76" s="2">
        <v>38807</v>
      </c>
      <c r="B76" s="9" t="s">
        <v>94</v>
      </c>
      <c r="C76" s="9" t="s">
        <v>396</v>
      </c>
      <c r="D76" s="6">
        <f t="shared" si="2"/>
        <v>33006.6</v>
      </c>
      <c r="E76" s="6">
        <f t="shared" si="3"/>
        <v>29384.799999999999</v>
      </c>
    </row>
    <row r="77" spans="1:5">
      <c r="A77" s="3">
        <v>38837</v>
      </c>
      <c r="B77" s="9" t="s">
        <v>95</v>
      </c>
      <c r="C77" s="9" t="s">
        <v>397</v>
      </c>
      <c r="D77" s="6">
        <f t="shared" si="2"/>
        <v>29459.599999999999</v>
      </c>
      <c r="E77" s="6">
        <f t="shared" si="3"/>
        <v>26564.7</v>
      </c>
    </row>
    <row r="78" spans="1:5">
      <c r="A78" s="2">
        <v>38868</v>
      </c>
      <c r="B78" s="9" t="s">
        <v>96</v>
      </c>
      <c r="C78" s="9" t="s">
        <v>398</v>
      </c>
      <c r="D78" s="6">
        <f t="shared" si="2"/>
        <v>33826.800000000003</v>
      </c>
      <c r="E78" s="6">
        <f t="shared" si="3"/>
        <v>28668.5</v>
      </c>
    </row>
    <row r="79" spans="1:5">
      <c r="A79" s="3">
        <v>38898</v>
      </c>
      <c r="B79" s="9" t="s">
        <v>97</v>
      </c>
      <c r="C79" s="9" t="s">
        <v>399</v>
      </c>
      <c r="D79" s="6">
        <f t="shared" si="2"/>
        <v>33354.699999999997</v>
      </c>
      <c r="E79" s="6">
        <f t="shared" si="3"/>
        <v>29939.599999999999</v>
      </c>
    </row>
    <row r="80" spans="1:5">
      <c r="A80" s="2">
        <v>38929</v>
      </c>
      <c r="B80" s="9" t="s">
        <v>98</v>
      </c>
      <c r="C80" s="9" t="s">
        <v>400</v>
      </c>
      <c r="D80" s="6">
        <f t="shared" si="2"/>
        <v>32932.9</v>
      </c>
      <c r="E80" s="6">
        <f t="shared" si="3"/>
        <v>27790.1</v>
      </c>
    </row>
    <row r="81" spans="1:5">
      <c r="A81" s="3">
        <v>38960</v>
      </c>
      <c r="B81" s="9" t="s">
        <v>99</v>
      </c>
      <c r="C81" s="9" t="s">
        <v>401</v>
      </c>
      <c r="D81" s="6">
        <f t="shared" si="2"/>
        <v>31746.5</v>
      </c>
      <c r="E81" s="6">
        <f t="shared" si="3"/>
        <v>27487.599999999999</v>
      </c>
    </row>
    <row r="82" spans="1:5">
      <c r="A82" s="2">
        <v>38990</v>
      </c>
      <c r="B82" s="9" t="s">
        <v>100</v>
      </c>
      <c r="C82" s="9" t="s">
        <v>402</v>
      </c>
      <c r="D82" s="6">
        <f t="shared" si="2"/>
        <v>35988.1</v>
      </c>
      <c r="E82" s="6">
        <f t="shared" si="3"/>
        <v>32108.5</v>
      </c>
    </row>
    <row r="83" spans="1:5">
      <c r="A83" s="3">
        <v>39021</v>
      </c>
      <c r="B83" s="9" t="s">
        <v>101</v>
      </c>
      <c r="C83" s="9" t="s">
        <v>403</v>
      </c>
      <c r="D83" s="6">
        <f t="shared" si="2"/>
        <v>38329.199999999997</v>
      </c>
      <c r="E83" s="6">
        <f t="shared" si="3"/>
        <v>33560.800000000003</v>
      </c>
    </row>
    <row r="84" spans="1:5">
      <c r="A84" s="2">
        <v>39051</v>
      </c>
      <c r="B84" s="9" t="s">
        <v>102</v>
      </c>
      <c r="C84" s="9" t="s">
        <v>404</v>
      </c>
      <c r="D84" s="6">
        <f t="shared" si="2"/>
        <v>36266.699999999997</v>
      </c>
      <c r="E84" s="6">
        <f t="shared" si="3"/>
        <v>32070.2</v>
      </c>
    </row>
    <row r="85" spans="1:5">
      <c r="A85" s="3">
        <v>39082</v>
      </c>
      <c r="B85" s="9" t="s">
        <v>103</v>
      </c>
      <c r="C85" s="9" t="s">
        <v>405</v>
      </c>
      <c r="D85" s="6">
        <f t="shared" si="2"/>
        <v>33596.800000000003</v>
      </c>
      <c r="E85" s="6">
        <f t="shared" si="3"/>
        <v>26643.8</v>
      </c>
    </row>
    <row r="86" spans="1:5">
      <c r="A86" s="2">
        <v>39113</v>
      </c>
      <c r="B86" s="9" t="s">
        <v>104</v>
      </c>
      <c r="C86" s="9" t="s">
        <v>406</v>
      </c>
      <c r="D86" s="6">
        <f t="shared" si="2"/>
        <v>34425</v>
      </c>
      <c r="E86" s="6">
        <f t="shared" si="3"/>
        <v>29591.599999999999</v>
      </c>
    </row>
    <row r="87" spans="1:5">
      <c r="A87" s="3">
        <v>39141</v>
      </c>
      <c r="B87" s="9" t="s">
        <v>105</v>
      </c>
      <c r="C87" s="9" t="s">
        <v>407</v>
      </c>
      <c r="D87" s="6">
        <f t="shared" si="2"/>
        <v>33553.300000000003</v>
      </c>
      <c r="E87" s="6">
        <f t="shared" si="3"/>
        <v>29800.9</v>
      </c>
    </row>
    <row r="88" spans="1:5">
      <c r="A88" s="2">
        <v>39172</v>
      </c>
      <c r="B88" s="9" t="s">
        <v>106</v>
      </c>
      <c r="C88" s="9" t="s">
        <v>408</v>
      </c>
      <c r="D88" s="6">
        <f t="shared" si="2"/>
        <v>40308</v>
      </c>
      <c r="E88" s="6">
        <f t="shared" si="3"/>
        <v>34261.5</v>
      </c>
    </row>
    <row r="89" spans="1:5">
      <c r="A89" s="3">
        <v>39202</v>
      </c>
      <c r="B89" s="9" t="s">
        <v>107</v>
      </c>
      <c r="C89" s="9" t="s">
        <v>409</v>
      </c>
      <c r="D89" s="6">
        <f t="shared" si="2"/>
        <v>36233.800000000003</v>
      </c>
      <c r="E89" s="6">
        <f t="shared" si="3"/>
        <v>30665.1</v>
      </c>
    </row>
    <row r="90" spans="1:5">
      <c r="A90" s="2">
        <v>39233</v>
      </c>
      <c r="B90" s="9" t="s">
        <v>108</v>
      </c>
      <c r="C90" s="9" t="s">
        <v>410</v>
      </c>
      <c r="D90" s="6">
        <f t="shared" si="2"/>
        <v>37771</v>
      </c>
      <c r="E90" s="6">
        <f t="shared" si="3"/>
        <v>32077.8</v>
      </c>
    </row>
    <row r="91" spans="1:5">
      <c r="A91" s="3">
        <v>39263</v>
      </c>
      <c r="B91" s="9" t="s">
        <v>109</v>
      </c>
      <c r="C91" s="9" t="s">
        <v>411</v>
      </c>
      <c r="D91" s="6">
        <f t="shared" si="2"/>
        <v>38482.199999999997</v>
      </c>
      <c r="E91" s="6">
        <f t="shared" si="3"/>
        <v>32169.4</v>
      </c>
    </row>
    <row r="92" spans="1:5">
      <c r="A92" s="2">
        <v>39294</v>
      </c>
      <c r="B92" s="9" t="s">
        <v>110</v>
      </c>
      <c r="C92" s="9" t="s">
        <v>412</v>
      </c>
      <c r="D92" s="6">
        <f t="shared" si="2"/>
        <v>38662.5</v>
      </c>
      <c r="E92" s="6">
        <f t="shared" si="3"/>
        <v>31487.5</v>
      </c>
    </row>
    <row r="93" spans="1:5">
      <c r="A93" s="3">
        <v>39325</v>
      </c>
      <c r="B93" s="9" t="s">
        <v>111</v>
      </c>
      <c r="C93" s="9" t="s">
        <v>413</v>
      </c>
      <c r="D93" s="6">
        <f t="shared" si="2"/>
        <v>35653.300000000003</v>
      </c>
      <c r="E93" s="6">
        <f t="shared" si="3"/>
        <v>31682.3</v>
      </c>
    </row>
    <row r="94" spans="1:5">
      <c r="A94" s="2">
        <v>39355</v>
      </c>
      <c r="B94" s="9" t="s">
        <v>112</v>
      </c>
      <c r="C94" s="9" t="s">
        <v>414</v>
      </c>
      <c r="D94" s="6">
        <f t="shared" si="2"/>
        <v>39623</v>
      </c>
      <c r="E94" s="6">
        <f t="shared" si="3"/>
        <v>33712</v>
      </c>
    </row>
    <row r="95" spans="1:5">
      <c r="A95" s="3">
        <v>39386</v>
      </c>
      <c r="B95" s="9" t="s">
        <v>113</v>
      </c>
      <c r="C95" s="9" t="s">
        <v>415</v>
      </c>
      <c r="D95" s="6">
        <f t="shared" si="2"/>
        <v>43880.5</v>
      </c>
      <c r="E95" s="6">
        <f t="shared" si="3"/>
        <v>37949.699999999997</v>
      </c>
    </row>
    <row r="96" spans="1:5">
      <c r="A96" s="2">
        <v>39416</v>
      </c>
      <c r="B96" s="9" t="s">
        <v>114</v>
      </c>
      <c r="C96" s="9" t="s">
        <v>416</v>
      </c>
      <c r="D96" s="6">
        <f t="shared" si="2"/>
        <v>41968.5</v>
      </c>
      <c r="E96" s="6">
        <f t="shared" si="3"/>
        <v>35139</v>
      </c>
    </row>
    <row r="97" spans="1:5">
      <c r="A97" s="3">
        <v>39447</v>
      </c>
      <c r="B97" s="9" t="s">
        <v>115</v>
      </c>
      <c r="C97" s="9" t="s">
        <v>417</v>
      </c>
      <c r="D97" s="6">
        <f t="shared" si="2"/>
        <v>36267.300000000003</v>
      </c>
      <c r="E97" s="6">
        <f t="shared" si="3"/>
        <v>28018.799999999999</v>
      </c>
    </row>
    <row r="98" spans="1:5">
      <c r="A98" s="2">
        <v>39478</v>
      </c>
      <c r="B98" s="9" t="s">
        <v>116</v>
      </c>
      <c r="C98" s="9" t="s">
        <v>418</v>
      </c>
      <c r="D98" s="6">
        <f t="shared" si="2"/>
        <v>39582.699999999997</v>
      </c>
      <c r="E98" s="6">
        <f t="shared" si="3"/>
        <v>33558.699999999997</v>
      </c>
    </row>
    <row r="99" spans="1:5">
      <c r="A99" s="3">
        <v>39507</v>
      </c>
      <c r="B99" s="9" t="s">
        <v>117</v>
      </c>
      <c r="C99" s="9" t="s">
        <v>419</v>
      </c>
      <c r="D99" s="6">
        <f t="shared" si="2"/>
        <v>41617.199999999997</v>
      </c>
      <c r="E99" s="6">
        <f t="shared" si="3"/>
        <v>35401.699999999997</v>
      </c>
    </row>
    <row r="100" spans="1:5">
      <c r="A100" s="2">
        <v>39538</v>
      </c>
      <c r="B100" s="9" t="s">
        <v>118</v>
      </c>
      <c r="C100" s="9" t="s">
        <v>420</v>
      </c>
      <c r="D100" s="6">
        <f t="shared" si="2"/>
        <v>42400.6</v>
      </c>
      <c r="E100" s="6">
        <f t="shared" si="3"/>
        <v>34315.699999999997</v>
      </c>
    </row>
    <row r="101" spans="1:5">
      <c r="A101" s="3">
        <v>39568</v>
      </c>
      <c r="B101" s="9" t="s">
        <v>119</v>
      </c>
      <c r="C101" s="9" t="s">
        <v>421</v>
      </c>
      <c r="D101" s="6">
        <f t="shared" si="2"/>
        <v>44536.9</v>
      </c>
      <c r="E101" s="6">
        <f t="shared" si="3"/>
        <v>37497.699999999997</v>
      </c>
    </row>
    <row r="102" spans="1:5">
      <c r="A102" s="2">
        <v>39599</v>
      </c>
      <c r="B102" s="9" t="s">
        <v>120</v>
      </c>
      <c r="C102" s="9" t="s">
        <v>422</v>
      </c>
      <c r="D102" s="6">
        <f t="shared" si="2"/>
        <v>40068.9</v>
      </c>
      <c r="E102" s="6">
        <f t="shared" si="3"/>
        <v>32679.5</v>
      </c>
    </row>
    <row r="103" spans="1:5">
      <c r="A103" s="3">
        <v>39629</v>
      </c>
      <c r="B103" s="9" t="s">
        <v>121</v>
      </c>
      <c r="C103" s="9" t="s">
        <v>423</v>
      </c>
      <c r="D103" s="6">
        <f t="shared" si="2"/>
        <v>42622</v>
      </c>
      <c r="E103" s="6">
        <f t="shared" si="3"/>
        <v>34157</v>
      </c>
    </row>
    <row r="104" spans="1:5">
      <c r="A104" s="2">
        <v>39660</v>
      </c>
      <c r="B104" s="9" t="s">
        <v>122</v>
      </c>
      <c r="C104" s="9" t="s">
        <v>424</v>
      </c>
      <c r="D104" s="6">
        <f t="shared" si="2"/>
        <v>41840.800000000003</v>
      </c>
      <c r="E104" s="6">
        <f t="shared" si="3"/>
        <v>33855</v>
      </c>
    </row>
    <row r="105" spans="1:5">
      <c r="A105" s="3">
        <v>39691</v>
      </c>
      <c r="B105" s="9" t="s">
        <v>123</v>
      </c>
      <c r="C105" s="9" t="s">
        <v>425</v>
      </c>
      <c r="D105" s="6">
        <f t="shared" si="2"/>
        <v>37164.9</v>
      </c>
      <c r="E105" s="6">
        <f t="shared" si="3"/>
        <v>30219.7</v>
      </c>
    </row>
    <row r="106" spans="1:5">
      <c r="A106" s="2">
        <v>39721</v>
      </c>
      <c r="B106" s="9" t="s">
        <v>124</v>
      </c>
      <c r="C106" s="9" t="s">
        <v>426</v>
      </c>
      <c r="D106" s="6">
        <f t="shared" si="2"/>
        <v>44140.4</v>
      </c>
      <c r="E106" s="6">
        <f t="shared" si="3"/>
        <v>36737.199999999997</v>
      </c>
    </row>
    <row r="107" spans="1:5">
      <c r="A107" s="3">
        <v>39752</v>
      </c>
      <c r="B107" s="9" t="s">
        <v>125</v>
      </c>
      <c r="C107" s="9" t="s">
        <v>427</v>
      </c>
      <c r="D107" s="6">
        <f t="shared" si="2"/>
        <v>45413.1</v>
      </c>
      <c r="E107" s="6">
        <f t="shared" si="3"/>
        <v>37490.800000000003</v>
      </c>
    </row>
    <row r="108" spans="1:5">
      <c r="A108" s="2">
        <v>39782</v>
      </c>
      <c r="B108" s="9" t="s">
        <v>126</v>
      </c>
      <c r="C108" s="9" t="s">
        <v>428</v>
      </c>
      <c r="D108" s="6">
        <f t="shared" si="2"/>
        <v>40475.199999999997</v>
      </c>
      <c r="E108" s="6">
        <f t="shared" si="3"/>
        <v>32384.5</v>
      </c>
    </row>
    <row r="109" spans="1:5">
      <c r="A109" s="3">
        <v>39813</v>
      </c>
      <c r="B109" s="9" t="s">
        <v>127</v>
      </c>
      <c r="C109" s="9" t="s">
        <v>429</v>
      </c>
      <c r="D109" s="6">
        <f t="shared" si="2"/>
        <v>37165.599999999999</v>
      </c>
      <c r="E109" s="6">
        <f t="shared" si="3"/>
        <v>27085.599999999999</v>
      </c>
    </row>
    <row r="110" spans="1:5">
      <c r="A110" s="2">
        <v>39844</v>
      </c>
      <c r="B110" s="9" t="s">
        <v>128</v>
      </c>
      <c r="C110" s="9" t="s">
        <v>430</v>
      </c>
      <c r="D110" s="6">
        <f t="shared" si="2"/>
        <v>34497.599999999999</v>
      </c>
      <c r="E110" s="6">
        <f t="shared" si="3"/>
        <v>30128.799999999999</v>
      </c>
    </row>
    <row r="111" spans="1:5">
      <c r="A111" s="3">
        <v>39872</v>
      </c>
      <c r="B111" s="9" t="s">
        <v>129</v>
      </c>
      <c r="C111" s="9" t="s">
        <v>431</v>
      </c>
      <c r="D111" s="6">
        <f t="shared" si="2"/>
        <v>37061.9</v>
      </c>
      <c r="E111" s="6">
        <f t="shared" si="3"/>
        <v>34524.199999999997</v>
      </c>
    </row>
    <row r="112" spans="1:5">
      <c r="A112" s="2">
        <v>39903</v>
      </c>
      <c r="B112" s="9" t="s">
        <v>130</v>
      </c>
      <c r="C112" s="9" t="s">
        <v>432</v>
      </c>
      <c r="D112" s="6">
        <f t="shared" si="2"/>
        <v>42350</v>
      </c>
      <c r="E112" s="6">
        <f t="shared" si="3"/>
        <v>38626.9</v>
      </c>
    </row>
    <row r="113" spans="1:5">
      <c r="A113" s="3">
        <v>39933</v>
      </c>
      <c r="B113" s="9" t="s">
        <v>131</v>
      </c>
      <c r="C113" s="9" t="s">
        <v>433</v>
      </c>
      <c r="D113" s="6">
        <f t="shared" si="2"/>
        <v>37746.5</v>
      </c>
      <c r="E113" s="6">
        <f t="shared" si="3"/>
        <v>34277.5</v>
      </c>
    </row>
    <row r="114" spans="1:5">
      <c r="A114" s="2">
        <v>39964</v>
      </c>
      <c r="B114" s="9" t="s">
        <v>132</v>
      </c>
      <c r="C114" s="9" t="s">
        <v>434</v>
      </c>
      <c r="D114" s="6">
        <f t="shared" si="2"/>
        <v>36435.5</v>
      </c>
      <c r="E114" s="6">
        <f t="shared" si="3"/>
        <v>33699.599999999999</v>
      </c>
    </row>
    <row r="115" spans="1:5">
      <c r="A115" s="3">
        <v>39994</v>
      </c>
      <c r="B115" s="9" t="s">
        <v>133</v>
      </c>
      <c r="C115" s="9" t="s">
        <v>435</v>
      </c>
      <c r="D115" s="6">
        <f t="shared" si="2"/>
        <v>40149.300000000003</v>
      </c>
      <c r="E115" s="6">
        <f t="shared" si="3"/>
        <v>36317.599999999999</v>
      </c>
    </row>
    <row r="116" spans="1:5">
      <c r="A116" s="2">
        <v>40025</v>
      </c>
      <c r="B116" s="9" t="s">
        <v>134</v>
      </c>
      <c r="C116" s="9" t="s">
        <v>436</v>
      </c>
      <c r="D116" s="6">
        <f t="shared" si="2"/>
        <v>39360.699999999997</v>
      </c>
      <c r="E116" s="6">
        <f t="shared" si="3"/>
        <v>35359.800000000003</v>
      </c>
    </row>
    <row r="117" spans="1:5">
      <c r="A117" s="3">
        <v>40056</v>
      </c>
      <c r="B117" s="9" t="s">
        <v>135</v>
      </c>
      <c r="C117" s="9" t="s">
        <v>437</v>
      </c>
      <c r="D117" s="6">
        <f t="shared" si="2"/>
        <v>34896.400000000001</v>
      </c>
      <c r="E117" s="6">
        <f t="shared" si="3"/>
        <v>30673.1</v>
      </c>
    </row>
    <row r="118" spans="1:5">
      <c r="A118" s="2">
        <v>40086</v>
      </c>
      <c r="B118" s="9" t="s">
        <v>136</v>
      </c>
      <c r="C118" s="9" t="s">
        <v>438</v>
      </c>
      <c r="D118" s="6">
        <f t="shared" si="2"/>
        <v>40494.800000000003</v>
      </c>
      <c r="E118" s="6">
        <f t="shared" si="3"/>
        <v>38551.599999999999</v>
      </c>
    </row>
    <row r="119" spans="1:5">
      <c r="A119" s="3">
        <v>40117</v>
      </c>
      <c r="B119" s="9" t="s">
        <v>137</v>
      </c>
      <c r="C119" s="9" t="s">
        <v>439</v>
      </c>
      <c r="D119" s="6">
        <f t="shared" si="2"/>
        <v>42955.7</v>
      </c>
      <c r="E119" s="6">
        <f t="shared" si="3"/>
        <v>40022.5</v>
      </c>
    </row>
    <row r="120" spans="1:5">
      <c r="A120" s="2">
        <v>40147</v>
      </c>
      <c r="B120" s="9" t="s">
        <v>138</v>
      </c>
      <c r="C120" s="9" t="s">
        <v>440</v>
      </c>
      <c r="D120" s="6">
        <f t="shared" si="2"/>
        <v>40790.800000000003</v>
      </c>
      <c r="E120" s="6">
        <f t="shared" si="3"/>
        <v>38055.800000000003</v>
      </c>
    </row>
    <row r="121" spans="1:5">
      <c r="A121" s="3">
        <v>40178</v>
      </c>
      <c r="B121" s="9" t="s">
        <v>139</v>
      </c>
      <c r="C121" s="9" t="s">
        <v>441</v>
      </c>
      <c r="D121" s="6">
        <f t="shared" si="2"/>
        <v>36643.4</v>
      </c>
      <c r="E121" s="6">
        <f t="shared" si="3"/>
        <v>33004.6</v>
      </c>
    </row>
    <row r="122" spans="1:5">
      <c r="A122" s="2">
        <v>40209</v>
      </c>
      <c r="B122" s="9" t="s">
        <v>140</v>
      </c>
      <c r="C122" s="9" t="s">
        <v>442</v>
      </c>
      <c r="D122" s="6">
        <f t="shared" si="2"/>
        <v>36572.400000000001</v>
      </c>
      <c r="E122" s="6">
        <f t="shared" si="3"/>
        <v>34236.9</v>
      </c>
    </row>
    <row r="123" spans="1:5">
      <c r="A123" s="3">
        <v>40237</v>
      </c>
      <c r="B123" s="9" t="s">
        <v>141</v>
      </c>
      <c r="C123" s="9" t="s">
        <v>443</v>
      </c>
      <c r="D123" s="6">
        <f t="shared" si="2"/>
        <v>39626.300000000003</v>
      </c>
      <c r="E123" s="6">
        <f t="shared" si="3"/>
        <v>36286.1</v>
      </c>
    </row>
    <row r="124" spans="1:5">
      <c r="A124" s="2">
        <v>40268</v>
      </c>
      <c r="B124" s="9" t="s">
        <v>142</v>
      </c>
      <c r="C124" s="9" t="s">
        <v>444</v>
      </c>
      <c r="D124" s="6">
        <f t="shared" si="2"/>
        <v>45147.3</v>
      </c>
      <c r="E124" s="6">
        <f t="shared" si="3"/>
        <v>40612</v>
      </c>
    </row>
    <row r="125" spans="1:5">
      <c r="A125" s="3">
        <v>40298</v>
      </c>
      <c r="B125" s="9" t="s">
        <v>143</v>
      </c>
      <c r="C125" s="9" t="s">
        <v>445</v>
      </c>
      <c r="D125" s="6">
        <f t="shared" si="2"/>
        <v>41568.699999999997</v>
      </c>
      <c r="E125" s="6">
        <f t="shared" si="3"/>
        <v>38498.9</v>
      </c>
    </row>
    <row r="126" spans="1:5">
      <c r="A126" s="2">
        <v>40329</v>
      </c>
      <c r="B126" s="9" t="s">
        <v>144</v>
      </c>
      <c r="C126" s="9" t="s">
        <v>446</v>
      </c>
      <c r="D126" s="6">
        <f t="shared" si="2"/>
        <v>44284.2</v>
      </c>
      <c r="E126" s="6">
        <f t="shared" si="3"/>
        <v>40021.800000000003</v>
      </c>
    </row>
    <row r="127" spans="1:5">
      <c r="A127" s="3">
        <v>40359</v>
      </c>
      <c r="B127" s="9" t="s">
        <v>145</v>
      </c>
      <c r="C127" s="9" t="s">
        <v>447</v>
      </c>
      <c r="D127" s="6">
        <f t="shared" si="2"/>
        <v>46905.5</v>
      </c>
      <c r="E127" s="6">
        <f t="shared" si="3"/>
        <v>43053.8</v>
      </c>
    </row>
    <row r="128" spans="1:5">
      <c r="A128" s="2">
        <v>40390</v>
      </c>
      <c r="B128" s="9" t="s">
        <v>146</v>
      </c>
      <c r="C128" s="9" t="s">
        <v>448</v>
      </c>
      <c r="D128" s="6">
        <f t="shared" si="2"/>
        <v>45435.3</v>
      </c>
      <c r="E128" s="6">
        <f t="shared" si="3"/>
        <v>40591</v>
      </c>
    </row>
    <row r="129" spans="1:5">
      <c r="A129" s="3">
        <v>40421</v>
      </c>
      <c r="B129" s="9" t="s">
        <v>147</v>
      </c>
      <c r="C129" s="9" t="s">
        <v>449</v>
      </c>
      <c r="D129" s="6">
        <f t="shared" si="2"/>
        <v>44136.5</v>
      </c>
      <c r="E129" s="6">
        <f t="shared" si="3"/>
        <v>38076.800000000003</v>
      </c>
    </row>
    <row r="130" spans="1:5">
      <c r="A130" s="2">
        <v>40451</v>
      </c>
      <c r="B130" s="9" t="s">
        <v>148</v>
      </c>
      <c r="C130" s="9" t="s">
        <v>450</v>
      </c>
      <c r="D130" s="6">
        <f t="shared" si="2"/>
        <v>48287.7</v>
      </c>
      <c r="E130" s="6">
        <f t="shared" si="3"/>
        <v>44360.5</v>
      </c>
    </row>
    <row r="131" spans="1:5">
      <c r="A131" s="3">
        <v>40482</v>
      </c>
      <c r="B131" s="9" t="s">
        <v>149</v>
      </c>
      <c r="C131" s="9" t="s">
        <v>451</v>
      </c>
      <c r="D131" s="6">
        <f t="shared" ref="D131:D194" si="4">B131*1</f>
        <v>48787.4</v>
      </c>
      <c r="E131" s="6">
        <f t="shared" ref="E131:E194" si="5">C131*1</f>
        <v>43939.3</v>
      </c>
    </row>
    <row r="132" spans="1:5">
      <c r="A132" s="2">
        <v>40512</v>
      </c>
      <c r="B132" s="9" t="s">
        <v>150</v>
      </c>
      <c r="C132" s="9" t="s">
        <v>452</v>
      </c>
      <c r="D132" s="6">
        <f t="shared" si="4"/>
        <v>49527.1</v>
      </c>
      <c r="E132" s="6">
        <f t="shared" si="5"/>
        <v>42551.4</v>
      </c>
    </row>
    <row r="133" spans="1:5">
      <c r="A133" s="3">
        <v>40543</v>
      </c>
      <c r="B133" s="9" t="s">
        <v>151</v>
      </c>
      <c r="C133" s="9" t="s">
        <v>453</v>
      </c>
      <c r="D133" s="6">
        <f t="shared" si="4"/>
        <v>45942.2</v>
      </c>
      <c r="E133" s="6">
        <f t="shared" si="5"/>
        <v>38829.699999999997</v>
      </c>
    </row>
    <row r="134" spans="1:5">
      <c r="A134" s="2">
        <v>40574</v>
      </c>
      <c r="B134" s="9" t="s">
        <v>152</v>
      </c>
      <c r="C134" s="9" t="s">
        <v>454</v>
      </c>
      <c r="D134" s="6">
        <f t="shared" si="4"/>
        <v>44300.5</v>
      </c>
      <c r="E134" s="6">
        <f t="shared" si="5"/>
        <v>40153.300000000003</v>
      </c>
    </row>
    <row r="135" spans="1:5">
      <c r="A135" s="3">
        <v>40602</v>
      </c>
      <c r="B135" s="9" t="s">
        <v>153</v>
      </c>
      <c r="C135" s="9" t="s">
        <v>455</v>
      </c>
      <c r="D135" s="6">
        <f t="shared" si="4"/>
        <v>47210.9</v>
      </c>
      <c r="E135" s="6">
        <f t="shared" si="5"/>
        <v>42483.4</v>
      </c>
    </row>
    <row r="136" spans="1:5">
      <c r="A136" s="2">
        <v>40633</v>
      </c>
      <c r="B136" s="9" t="s">
        <v>154</v>
      </c>
      <c r="C136" s="9" t="s">
        <v>456</v>
      </c>
      <c r="D136" s="6">
        <f t="shared" si="4"/>
        <v>52935.3</v>
      </c>
      <c r="E136" s="6">
        <f t="shared" si="5"/>
        <v>48187.9</v>
      </c>
    </row>
    <row r="137" spans="1:5">
      <c r="A137" s="3">
        <v>40663</v>
      </c>
      <c r="B137" s="9" t="s">
        <v>155</v>
      </c>
      <c r="C137" s="9" t="s">
        <v>457</v>
      </c>
      <c r="D137" s="6">
        <f t="shared" si="4"/>
        <v>50553.5</v>
      </c>
      <c r="E137" s="6">
        <f t="shared" si="5"/>
        <v>44225.9</v>
      </c>
    </row>
    <row r="138" spans="1:5">
      <c r="A138" s="2">
        <v>40694</v>
      </c>
      <c r="B138" s="9" t="s">
        <v>156</v>
      </c>
      <c r="C138" s="9" t="s">
        <v>458</v>
      </c>
      <c r="D138" s="6">
        <f t="shared" si="4"/>
        <v>52021.9</v>
      </c>
      <c r="E138" s="6">
        <f t="shared" si="5"/>
        <v>46415.3</v>
      </c>
    </row>
    <row r="139" spans="1:5">
      <c r="A139" s="3">
        <v>40724</v>
      </c>
      <c r="B139" s="9" t="s">
        <v>157</v>
      </c>
      <c r="C139" s="9" t="s">
        <v>459</v>
      </c>
      <c r="D139" s="6">
        <f t="shared" si="4"/>
        <v>51666.400000000001</v>
      </c>
      <c r="E139" s="6">
        <f t="shared" si="5"/>
        <v>45259.8</v>
      </c>
    </row>
    <row r="140" spans="1:5">
      <c r="A140" s="2">
        <v>40755</v>
      </c>
      <c r="B140" s="9" t="s">
        <v>158</v>
      </c>
      <c r="C140" s="9" t="s">
        <v>460</v>
      </c>
      <c r="D140" s="6">
        <f t="shared" si="4"/>
        <v>48956.6</v>
      </c>
      <c r="E140" s="6">
        <f t="shared" si="5"/>
        <v>42486.9</v>
      </c>
    </row>
    <row r="141" spans="1:5">
      <c r="A141" s="3">
        <v>40786</v>
      </c>
      <c r="B141" s="9" t="s">
        <v>159</v>
      </c>
      <c r="C141" s="9" t="s">
        <v>461</v>
      </c>
      <c r="D141" s="6">
        <f t="shared" si="4"/>
        <v>51626.1</v>
      </c>
      <c r="E141" s="6">
        <f t="shared" si="5"/>
        <v>45945.9</v>
      </c>
    </row>
    <row r="142" spans="1:5">
      <c r="A142" s="2">
        <v>40816</v>
      </c>
      <c r="B142" s="9" t="s">
        <v>160</v>
      </c>
      <c r="C142" s="9" t="s">
        <v>462</v>
      </c>
      <c r="D142" s="6">
        <f t="shared" si="4"/>
        <v>56269</v>
      </c>
      <c r="E142" s="6">
        <f t="shared" si="5"/>
        <v>52812.9</v>
      </c>
    </row>
    <row r="143" spans="1:5">
      <c r="A143" s="3">
        <v>40847</v>
      </c>
      <c r="B143" s="9" t="s">
        <v>161</v>
      </c>
      <c r="C143" s="9" t="s">
        <v>463</v>
      </c>
      <c r="D143" s="6">
        <f t="shared" si="4"/>
        <v>56928.9</v>
      </c>
      <c r="E143" s="6">
        <f t="shared" si="5"/>
        <v>52071.3</v>
      </c>
    </row>
    <row r="144" spans="1:5">
      <c r="A144" s="2">
        <v>40877</v>
      </c>
      <c r="B144" s="9" t="s">
        <v>162</v>
      </c>
      <c r="C144" s="9" t="s">
        <v>464</v>
      </c>
      <c r="D144" s="6">
        <f t="shared" si="4"/>
        <v>57444.7</v>
      </c>
      <c r="E144" s="6">
        <f t="shared" si="5"/>
        <v>52126.2</v>
      </c>
    </row>
    <row r="145" spans="1:5">
      <c r="A145" s="3">
        <v>40908</v>
      </c>
      <c r="B145" s="9" t="s">
        <v>163</v>
      </c>
      <c r="C145" s="9" t="s">
        <v>465</v>
      </c>
      <c r="D145" s="6">
        <f t="shared" si="4"/>
        <v>53458.9</v>
      </c>
      <c r="E145" s="6">
        <f t="shared" si="5"/>
        <v>46570.2</v>
      </c>
    </row>
    <row r="146" spans="1:5">
      <c r="A146" s="2">
        <v>40939</v>
      </c>
      <c r="B146" s="9" t="s">
        <v>164</v>
      </c>
      <c r="C146" s="9" t="s">
        <v>466</v>
      </c>
      <c r="D146" s="6">
        <f t="shared" si="4"/>
        <v>53761.2</v>
      </c>
      <c r="E146" s="6">
        <f t="shared" si="5"/>
        <v>48845.7</v>
      </c>
    </row>
    <row r="147" spans="1:5">
      <c r="A147" s="3">
        <v>40968</v>
      </c>
      <c r="B147" s="9" t="s">
        <v>165</v>
      </c>
      <c r="C147" s="9" t="s">
        <v>467</v>
      </c>
      <c r="D147" s="6">
        <f t="shared" si="4"/>
        <v>53733</v>
      </c>
      <c r="E147" s="6">
        <f t="shared" si="5"/>
        <v>48144.7</v>
      </c>
    </row>
    <row r="148" spans="1:5">
      <c r="A148" s="2">
        <v>40999</v>
      </c>
      <c r="B148" s="9" t="s">
        <v>166</v>
      </c>
      <c r="C148" s="9" t="s">
        <v>468</v>
      </c>
      <c r="D148" s="6">
        <f t="shared" si="4"/>
        <v>56073.5</v>
      </c>
      <c r="E148" s="6">
        <f t="shared" si="5"/>
        <v>51992.4</v>
      </c>
    </row>
    <row r="149" spans="1:5">
      <c r="A149" s="3">
        <v>41029</v>
      </c>
      <c r="B149" s="9" t="s">
        <v>167</v>
      </c>
      <c r="C149" s="9" t="s">
        <v>469</v>
      </c>
      <c r="D149" s="6">
        <f t="shared" si="4"/>
        <v>52420.9</v>
      </c>
      <c r="E149" s="6">
        <f t="shared" si="5"/>
        <v>48472.3</v>
      </c>
    </row>
    <row r="150" spans="1:5">
      <c r="A150" s="2">
        <v>41060</v>
      </c>
      <c r="B150" s="9" t="s">
        <v>168</v>
      </c>
      <c r="C150" s="9" t="s">
        <v>470</v>
      </c>
      <c r="D150" s="6">
        <f t="shared" si="4"/>
        <v>56373.599999999999</v>
      </c>
      <c r="E150" s="6">
        <f t="shared" si="5"/>
        <v>50777.599999999999</v>
      </c>
    </row>
    <row r="151" spans="1:5">
      <c r="A151" s="3">
        <v>41090</v>
      </c>
      <c r="B151" s="9" t="s">
        <v>169</v>
      </c>
      <c r="C151" s="9" t="s">
        <v>471</v>
      </c>
      <c r="D151" s="6">
        <f t="shared" si="4"/>
        <v>54050.7</v>
      </c>
      <c r="E151" s="6">
        <f t="shared" si="5"/>
        <v>50567</v>
      </c>
    </row>
    <row r="152" spans="1:5">
      <c r="A152" s="2">
        <v>41121</v>
      </c>
      <c r="B152" s="9" t="s">
        <v>170</v>
      </c>
      <c r="C152" s="9" t="s">
        <v>472</v>
      </c>
      <c r="D152" s="6">
        <f t="shared" si="4"/>
        <v>53524</v>
      </c>
      <c r="E152" s="6">
        <f t="shared" si="5"/>
        <v>50395.5</v>
      </c>
    </row>
    <row r="153" spans="1:5">
      <c r="A153" s="3">
        <v>41152</v>
      </c>
      <c r="B153" s="9" t="s">
        <v>171</v>
      </c>
      <c r="C153" s="9" t="s">
        <v>473</v>
      </c>
      <c r="D153" s="6">
        <f t="shared" si="4"/>
        <v>50452.5</v>
      </c>
      <c r="E153" s="6">
        <f t="shared" si="5"/>
        <v>48745.1</v>
      </c>
    </row>
    <row r="154" spans="1:5">
      <c r="A154" s="2">
        <v>41182</v>
      </c>
      <c r="B154" s="9" t="s">
        <v>172</v>
      </c>
      <c r="C154" s="9" t="s">
        <v>474</v>
      </c>
      <c r="D154" s="6">
        <f t="shared" si="4"/>
        <v>53337</v>
      </c>
      <c r="E154" s="6">
        <f t="shared" si="5"/>
        <v>51874.1</v>
      </c>
    </row>
    <row r="155" spans="1:5">
      <c r="A155" s="3">
        <v>41213</v>
      </c>
      <c r="B155" s="9" t="s">
        <v>173</v>
      </c>
      <c r="C155" s="9" t="s">
        <v>475</v>
      </c>
      <c r="D155" s="6">
        <f t="shared" si="4"/>
        <v>58855.8</v>
      </c>
      <c r="E155" s="6">
        <f t="shared" si="5"/>
        <v>58036.2</v>
      </c>
    </row>
    <row r="156" spans="1:5">
      <c r="A156" s="2">
        <v>41243</v>
      </c>
      <c r="B156" s="9" t="s">
        <v>174</v>
      </c>
      <c r="C156" s="9" t="s">
        <v>476</v>
      </c>
      <c r="D156" s="6">
        <f t="shared" si="4"/>
        <v>57160.1</v>
      </c>
      <c r="E156" s="6">
        <f t="shared" si="5"/>
        <v>53780.4</v>
      </c>
    </row>
    <row r="157" spans="1:5">
      <c r="A157" s="3">
        <v>41274</v>
      </c>
      <c r="B157" s="9" t="s">
        <v>175</v>
      </c>
      <c r="C157" s="9" t="s">
        <v>477</v>
      </c>
      <c r="D157" s="6">
        <f t="shared" si="4"/>
        <v>48385.3</v>
      </c>
      <c r="E157" s="6">
        <f t="shared" si="5"/>
        <v>41787.599999999999</v>
      </c>
    </row>
    <row r="158" spans="1:5">
      <c r="A158" s="2">
        <v>41305</v>
      </c>
      <c r="B158" s="9" t="s">
        <v>176</v>
      </c>
      <c r="C158" s="9" t="s">
        <v>478</v>
      </c>
      <c r="D158" s="6">
        <f t="shared" si="4"/>
        <v>51777.2</v>
      </c>
      <c r="E158" s="6">
        <f t="shared" si="5"/>
        <v>50197.9</v>
      </c>
    </row>
    <row r="159" spans="1:5">
      <c r="A159" s="3">
        <v>41333</v>
      </c>
      <c r="B159" s="9" t="s">
        <v>177</v>
      </c>
      <c r="C159" s="9" t="s">
        <v>479</v>
      </c>
      <c r="D159" s="6">
        <f t="shared" si="4"/>
        <v>50757.1</v>
      </c>
      <c r="E159" s="6">
        <f t="shared" si="5"/>
        <v>51233</v>
      </c>
    </row>
    <row r="160" spans="1:5">
      <c r="A160" s="2">
        <v>41364</v>
      </c>
      <c r="B160" s="9" t="s">
        <v>178</v>
      </c>
      <c r="C160" s="9" t="s">
        <v>480</v>
      </c>
      <c r="D160" s="6">
        <f t="shared" si="4"/>
        <v>56339</v>
      </c>
      <c r="E160" s="6">
        <f t="shared" si="5"/>
        <v>52865.1</v>
      </c>
    </row>
    <row r="161" spans="1:5">
      <c r="A161" s="3">
        <v>41394</v>
      </c>
      <c r="B161" s="9" t="s">
        <v>179</v>
      </c>
      <c r="C161" s="9" t="s">
        <v>481</v>
      </c>
      <c r="D161" s="6">
        <f t="shared" si="4"/>
        <v>53298</v>
      </c>
      <c r="E161" s="6">
        <f t="shared" si="5"/>
        <v>54595.6</v>
      </c>
    </row>
    <row r="162" spans="1:5">
      <c r="A162" s="2">
        <v>41425</v>
      </c>
      <c r="B162" s="9" t="s">
        <v>180</v>
      </c>
      <c r="C162" s="9" t="s">
        <v>482</v>
      </c>
      <c r="D162" s="6">
        <f t="shared" si="4"/>
        <v>52109.8</v>
      </c>
      <c r="E162" s="6">
        <f t="shared" si="5"/>
        <v>51014.3</v>
      </c>
    </row>
    <row r="163" spans="1:5">
      <c r="A163" s="3">
        <v>41455</v>
      </c>
      <c r="B163" s="9" t="s">
        <v>181</v>
      </c>
      <c r="C163" s="9" t="s">
        <v>483</v>
      </c>
      <c r="D163" s="6">
        <f t="shared" si="4"/>
        <v>53463.5</v>
      </c>
      <c r="E163" s="6">
        <f t="shared" si="5"/>
        <v>54495.8</v>
      </c>
    </row>
    <row r="164" spans="1:5">
      <c r="A164" s="2">
        <v>41486</v>
      </c>
      <c r="B164" s="9" t="s">
        <v>182</v>
      </c>
      <c r="C164" s="9" t="s">
        <v>484</v>
      </c>
      <c r="D164" s="6">
        <f t="shared" si="4"/>
        <v>56547.3</v>
      </c>
      <c r="E164" s="6">
        <f t="shared" si="5"/>
        <v>55546.9</v>
      </c>
    </row>
    <row r="165" spans="1:5">
      <c r="A165" s="3">
        <v>41517</v>
      </c>
      <c r="B165" s="9" t="s">
        <v>183</v>
      </c>
      <c r="C165" s="9" t="s">
        <v>485</v>
      </c>
      <c r="D165" s="6">
        <f t="shared" si="4"/>
        <v>52500.3</v>
      </c>
      <c r="E165" s="6">
        <f t="shared" si="5"/>
        <v>52051.9</v>
      </c>
    </row>
    <row r="166" spans="1:5">
      <c r="A166" s="2">
        <v>41547</v>
      </c>
      <c r="B166" s="9" t="s">
        <v>184</v>
      </c>
      <c r="C166" s="9" t="s">
        <v>486</v>
      </c>
      <c r="D166" s="6">
        <f t="shared" si="4"/>
        <v>57405.5</v>
      </c>
      <c r="E166" s="6">
        <f t="shared" si="5"/>
        <v>59090.6</v>
      </c>
    </row>
    <row r="167" spans="1:5">
      <c r="A167" s="3">
        <v>41578</v>
      </c>
      <c r="B167" s="9" t="s">
        <v>185</v>
      </c>
      <c r="C167" s="9" t="s">
        <v>487</v>
      </c>
      <c r="D167" s="6">
        <f t="shared" si="4"/>
        <v>62871.1</v>
      </c>
      <c r="E167" s="6">
        <f t="shared" si="5"/>
        <v>61895</v>
      </c>
    </row>
    <row r="168" spans="1:5">
      <c r="A168" s="2">
        <v>41608</v>
      </c>
      <c r="B168" s="9" t="s">
        <v>186</v>
      </c>
      <c r="C168" s="9" t="s">
        <v>488</v>
      </c>
      <c r="D168" s="6">
        <f t="shared" si="4"/>
        <v>58468.3</v>
      </c>
      <c r="E168" s="6">
        <f t="shared" si="5"/>
        <v>56863.8</v>
      </c>
    </row>
    <row r="169" spans="1:5">
      <c r="A169" s="3">
        <v>41639</v>
      </c>
      <c r="B169" s="9" t="s">
        <v>187</v>
      </c>
      <c r="C169" s="9" t="s">
        <v>489</v>
      </c>
      <c r="D169" s="6">
        <f t="shared" si="4"/>
        <v>50561.1</v>
      </c>
      <c r="E169" s="6">
        <f t="shared" si="5"/>
        <v>48028.9</v>
      </c>
    </row>
    <row r="170" spans="1:5">
      <c r="A170" s="2">
        <v>41670</v>
      </c>
      <c r="B170" s="9" t="s">
        <v>188</v>
      </c>
      <c r="C170" s="9" t="s">
        <v>490</v>
      </c>
      <c r="D170" s="6">
        <f t="shared" si="4"/>
        <v>56454.5</v>
      </c>
      <c r="E170" s="6">
        <f t="shared" si="5"/>
        <v>56030.8</v>
      </c>
    </row>
    <row r="171" spans="1:5">
      <c r="A171" s="3">
        <v>41698</v>
      </c>
      <c r="B171" s="9" t="s">
        <v>189</v>
      </c>
      <c r="C171" s="9" t="s">
        <v>491</v>
      </c>
      <c r="D171" s="6">
        <f t="shared" si="4"/>
        <v>55023.8</v>
      </c>
      <c r="E171" s="6">
        <f t="shared" si="5"/>
        <v>54454.7</v>
      </c>
    </row>
    <row r="172" spans="1:5">
      <c r="A172" s="2">
        <v>41729</v>
      </c>
      <c r="B172" s="9" t="s">
        <v>190</v>
      </c>
      <c r="C172" s="9" t="s">
        <v>492</v>
      </c>
      <c r="D172" s="6">
        <f t="shared" si="4"/>
        <v>59925.7</v>
      </c>
      <c r="E172" s="6">
        <f t="shared" si="5"/>
        <v>58898.1</v>
      </c>
    </row>
    <row r="173" spans="1:5">
      <c r="A173" s="3">
        <v>41759</v>
      </c>
      <c r="B173" s="9" t="s">
        <v>191</v>
      </c>
      <c r="C173" s="9" t="s">
        <v>493</v>
      </c>
      <c r="D173" s="6">
        <f t="shared" si="4"/>
        <v>58365.2</v>
      </c>
      <c r="E173" s="6">
        <f t="shared" si="5"/>
        <v>59029</v>
      </c>
    </row>
    <row r="174" spans="1:5">
      <c r="A174" s="2">
        <v>41790</v>
      </c>
      <c r="B174" s="9" t="s">
        <v>192</v>
      </c>
      <c r="C174" s="9" t="s">
        <v>494</v>
      </c>
      <c r="D174" s="6">
        <f t="shared" si="4"/>
        <v>59027.7</v>
      </c>
      <c r="E174" s="6">
        <f t="shared" si="5"/>
        <v>56910.6</v>
      </c>
    </row>
    <row r="175" spans="1:5">
      <c r="A175" s="3">
        <v>41820</v>
      </c>
      <c r="B175" s="9" t="s">
        <v>193</v>
      </c>
      <c r="C175" s="9" t="s">
        <v>495</v>
      </c>
      <c r="D175" s="6">
        <f t="shared" si="4"/>
        <v>57100.5</v>
      </c>
      <c r="E175" s="6">
        <f t="shared" si="5"/>
        <v>56521.4</v>
      </c>
    </row>
    <row r="176" spans="1:5">
      <c r="A176" s="2">
        <v>41851</v>
      </c>
      <c r="B176" s="9" t="s">
        <v>194</v>
      </c>
      <c r="C176" s="9" t="s">
        <v>496</v>
      </c>
      <c r="D176" s="6">
        <f t="shared" si="4"/>
        <v>59524.5</v>
      </c>
      <c r="E176" s="6">
        <f t="shared" si="5"/>
        <v>57391.5</v>
      </c>
    </row>
    <row r="177" spans="1:5">
      <c r="A177" s="3">
        <v>41882</v>
      </c>
      <c r="B177" s="9" t="s">
        <v>195</v>
      </c>
      <c r="C177" s="9" t="s">
        <v>497</v>
      </c>
      <c r="D177" s="6">
        <f t="shared" si="4"/>
        <v>52454.2</v>
      </c>
      <c r="E177" s="6">
        <f t="shared" si="5"/>
        <v>50637.4</v>
      </c>
    </row>
    <row r="178" spans="1:5">
      <c r="A178" s="2">
        <v>41912</v>
      </c>
      <c r="B178" s="9" t="s">
        <v>196</v>
      </c>
      <c r="C178" s="9" t="s">
        <v>498</v>
      </c>
      <c r="D178" s="6">
        <f t="shared" si="4"/>
        <v>61593.1</v>
      </c>
      <c r="E178" s="6">
        <f t="shared" si="5"/>
        <v>62470.7</v>
      </c>
    </row>
    <row r="179" spans="1:5">
      <c r="A179" s="3">
        <v>41943</v>
      </c>
      <c r="B179" s="9" t="s">
        <v>197</v>
      </c>
      <c r="C179" s="9" t="s">
        <v>499</v>
      </c>
      <c r="D179" s="6">
        <f t="shared" si="4"/>
        <v>66345.8</v>
      </c>
      <c r="E179" s="6">
        <f t="shared" si="5"/>
        <v>65554.3</v>
      </c>
    </row>
    <row r="180" spans="1:5">
      <c r="A180" s="2">
        <v>41973</v>
      </c>
      <c r="B180" s="9" t="s">
        <v>198</v>
      </c>
      <c r="C180" s="9" t="s">
        <v>500</v>
      </c>
      <c r="D180" s="6">
        <f t="shared" si="4"/>
        <v>62043.8</v>
      </c>
      <c r="E180" s="6">
        <f t="shared" si="5"/>
        <v>61273.5</v>
      </c>
    </row>
    <row r="181" spans="1:5">
      <c r="A181" s="3">
        <v>42004</v>
      </c>
      <c r="B181" s="9" t="s">
        <v>199</v>
      </c>
      <c r="C181" s="9" t="s">
        <v>501</v>
      </c>
      <c r="D181" s="6">
        <f t="shared" si="4"/>
        <v>56708.7</v>
      </c>
      <c r="E181" s="6">
        <f t="shared" si="5"/>
        <v>54299.6</v>
      </c>
    </row>
    <row r="182" spans="1:5">
      <c r="A182" s="2">
        <v>42035</v>
      </c>
      <c r="B182" s="9" t="s">
        <v>200</v>
      </c>
      <c r="C182" s="9" t="s">
        <v>502</v>
      </c>
      <c r="D182" s="6">
        <f t="shared" si="4"/>
        <v>57030.8</v>
      </c>
      <c r="E182" s="6">
        <f t="shared" si="5"/>
        <v>59079</v>
      </c>
    </row>
    <row r="183" spans="1:5">
      <c r="A183" s="3">
        <v>42063</v>
      </c>
      <c r="B183" s="9" t="s">
        <v>201</v>
      </c>
      <c r="C183" s="9" t="s">
        <v>503</v>
      </c>
      <c r="D183" s="6">
        <f t="shared" si="4"/>
        <v>57402.1</v>
      </c>
      <c r="E183" s="6">
        <f t="shared" si="5"/>
        <v>59866.7</v>
      </c>
    </row>
    <row r="184" spans="1:5">
      <c r="A184" s="2">
        <v>42094</v>
      </c>
      <c r="B184" s="9" t="s">
        <v>202</v>
      </c>
      <c r="C184" s="9" t="s">
        <v>504</v>
      </c>
      <c r="D184" s="6">
        <f t="shared" si="4"/>
        <v>64269.2</v>
      </c>
      <c r="E184" s="6">
        <f t="shared" si="5"/>
        <v>66087</v>
      </c>
    </row>
    <row r="185" spans="1:5">
      <c r="A185" s="3">
        <v>42124</v>
      </c>
      <c r="B185" s="9" t="s">
        <v>203</v>
      </c>
      <c r="C185" s="9" t="s">
        <v>505</v>
      </c>
      <c r="D185" s="6">
        <f t="shared" si="4"/>
        <v>61125.9</v>
      </c>
      <c r="E185" s="6">
        <f t="shared" si="5"/>
        <v>60697.3</v>
      </c>
    </row>
    <row r="186" spans="1:5">
      <c r="A186" s="2">
        <v>42155</v>
      </c>
      <c r="B186" s="9" t="s">
        <v>204</v>
      </c>
      <c r="C186" s="9" t="s">
        <v>506</v>
      </c>
      <c r="D186" s="6">
        <f t="shared" si="4"/>
        <v>57414.1</v>
      </c>
      <c r="E186" s="6">
        <f t="shared" si="5"/>
        <v>60056.4</v>
      </c>
    </row>
    <row r="187" spans="1:5">
      <c r="A187" s="3">
        <v>42185</v>
      </c>
      <c r="B187" s="9" t="s">
        <v>205</v>
      </c>
      <c r="C187" s="9" t="s">
        <v>507</v>
      </c>
      <c r="D187" s="6">
        <f t="shared" si="4"/>
        <v>62907.7</v>
      </c>
      <c r="E187" s="6">
        <f t="shared" si="5"/>
        <v>63477.599999999999</v>
      </c>
    </row>
    <row r="188" spans="1:5">
      <c r="A188" s="2">
        <v>42216</v>
      </c>
      <c r="B188" s="9" t="s">
        <v>206</v>
      </c>
      <c r="C188" s="9" t="s">
        <v>508</v>
      </c>
      <c r="D188" s="6">
        <f t="shared" si="4"/>
        <v>63813</v>
      </c>
      <c r="E188" s="6">
        <f t="shared" si="5"/>
        <v>61858.2</v>
      </c>
    </row>
    <row r="189" spans="1:5">
      <c r="A189" s="3">
        <v>42247</v>
      </c>
      <c r="B189" s="9" t="s">
        <v>207</v>
      </c>
      <c r="C189" s="9" t="s">
        <v>509</v>
      </c>
      <c r="D189" s="6">
        <f t="shared" si="4"/>
        <v>56835.9</v>
      </c>
      <c r="E189" s="6">
        <f t="shared" si="5"/>
        <v>56006.2</v>
      </c>
    </row>
    <row r="190" spans="1:5">
      <c r="A190" s="2">
        <v>42277</v>
      </c>
      <c r="B190" s="9" t="s">
        <v>208</v>
      </c>
      <c r="C190" s="9" t="s">
        <v>510</v>
      </c>
      <c r="D190" s="6">
        <f t="shared" si="4"/>
        <v>66435.3</v>
      </c>
      <c r="E190" s="6">
        <f t="shared" si="5"/>
        <v>67099.8</v>
      </c>
    </row>
    <row r="191" spans="1:5">
      <c r="A191" s="3">
        <v>42308</v>
      </c>
      <c r="B191" s="9" t="s">
        <v>209</v>
      </c>
      <c r="C191" s="9" t="s">
        <v>511</v>
      </c>
      <c r="D191" s="6">
        <f t="shared" si="4"/>
        <v>67425.7</v>
      </c>
      <c r="E191" s="6">
        <f t="shared" si="5"/>
        <v>69393.8</v>
      </c>
    </row>
    <row r="192" spans="1:5">
      <c r="A192" s="2">
        <v>42338</v>
      </c>
      <c r="B192" s="9" t="s">
        <v>210</v>
      </c>
      <c r="C192" s="9" t="s">
        <v>512</v>
      </c>
      <c r="D192" s="6">
        <f t="shared" si="4"/>
        <v>66370</v>
      </c>
      <c r="E192" s="6">
        <f t="shared" si="5"/>
        <v>66998.7</v>
      </c>
    </row>
    <row r="193" spans="1:5">
      <c r="A193" s="3">
        <v>42369</v>
      </c>
      <c r="B193" s="9" t="s">
        <v>211</v>
      </c>
      <c r="C193" s="9" t="s">
        <v>513</v>
      </c>
      <c r="D193" s="6">
        <f t="shared" si="4"/>
        <v>59943.6</v>
      </c>
      <c r="E193" s="6">
        <f t="shared" si="5"/>
        <v>60215.6</v>
      </c>
    </row>
    <row r="194" spans="1:5">
      <c r="A194" s="2">
        <v>42400</v>
      </c>
      <c r="B194" s="9" t="s">
        <v>212</v>
      </c>
      <c r="C194" s="9" t="s">
        <v>514</v>
      </c>
      <c r="D194" s="6">
        <f t="shared" si="4"/>
        <v>58015.1</v>
      </c>
      <c r="E194" s="6">
        <f t="shared" si="5"/>
        <v>60048</v>
      </c>
    </row>
    <row r="195" spans="1:5">
      <c r="A195" s="3">
        <v>42429</v>
      </c>
      <c r="B195" s="9" t="s">
        <v>213</v>
      </c>
      <c r="C195" s="9" t="s">
        <v>515</v>
      </c>
      <c r="D195" s="6">
        <f t="shared" ref="D195:D258" si="6">B195*1</f>
        <v>64223.6</v>
      </c>
      <c r="E195" s="6">
        <f t="shared" ref="E195:E258" si="7">C195*1</f>
        <v>65693.5</v>
      </c>
    </row>
    <row r="196" spans="1:5">
      <c r="A196" s="2">
        <v>42460</v>
      </c>
      <c r="B196" s="9" t="s">
        <v>214</v>
      </c>
      <c r="C196" s="9" t="s">
        <v>516</v>
      </c>
      <c r="D196" s="6">
        <f t="shared" si="6"/>
        <v>66715.5</v>
      </c>
      <c r="E196" s="6">
        <f t="shared" si="7"/>
        <v>68288.2</v>
      </c>
    </row>
    <row r="197" spans="1:5">
      <c r="A197" s="3">
        <v>42490</v>
      </c>
      <c r="B197" s="9" t="s">
        <v>215</v>
      </c>
      <c r="C197" s="9" t="s">
        <v>517</v>
      </c>
      <c r="D197" s="6">
        <f t="shared" si="6"/>
        <v>65315.6</v>
      </c>
      <c r="E197" s="6">
        <f t="shared" si="7"/>
        <v>67421.7</v>
      </c>
    </row>
    <row r="198" spans="1:5">
      <c r="A198" s="2">
        <v>42521</v>
      </c>
      <c r="B198" s="9" t="s">
        <v>216</v>
      </c>
      <c r="C198" s="9" t="s">
        <v>518</v>
      </c>
      <c r="D198" s="6">
        <f t="shared" si="6"/>
        <v>63554.5</v>
      </c>
      <c r="E198" s="6">
        <f t="shared" si="7"/>
        <v>66092.2</v>
      </c>
    </row>
    <row r="199" spans="1:5">
      <c r="A199" s="3">
        <v>42551</v>
      </c>
      <c r="B199" s="9" t="s">
        <v>217</v>
      </c>
      <c r="C199" s="9" t="s">
        <v>519</v>
      </c>
      <c r="D199" s="6">
        <f t="shared" si="6"/>
        <v>66706.100000000006</v>
      </c>
      <c r="E199" s="6">
        <f t="shared" si="7"/>
        <v>69818.399999999994</v>
      </c>
    </row>
    <row r="200" spans="1:5">
      <c r="A200" s="2">
        <v>42582</v>
      </c>
      <c r="B200" s="9" t="s">
        <v>218</v>
      </c>
      <c r="C200" s="9" t="s">
        <v>520</v>
      </c>
      <c r="D200" s="6">
        <f t="shared" si="6"/>
        <v>62008.7</v>
      </c>
      <c r="E200" s="6">
        <f t="shared" si="7"/>
        <v>62752.800000000003</v>
      </c>
    </row>
    <row r="201" spans="1:5">
      <c r="A201" s="3">
        <v>42613</v>
      </c>
      <c r="B201" s="9" t="s">
        <v>219</v>
      </c>
      <c r="C201" s="9" t="s">
        <v>521</v>
      </c>
      <c r="D201" s="6">
        <f t="shared" si="6"/>
        <v>63386.1</v>
      </c>
      <c r="E201" s="6">
        <f t="shared" si="7"/>
        <v>62213.8</v>
      </c>
    </row>
    <row r="202" spans="1:5">
      <c r="A202" s="2">
        <v>42643</v>
      </c>
      <c r="B202" s="9" t="s">
        <v>220</v>
      </c>
      <c r="C202" s="9" t="s">
        <v>522</v>
      </c>
      <c r="D202" s="6">
        <f t="shared" si="6"/>
        <v>69396.600000000006</v>
      </c>
      <c r="E202" s="6">
        <f t="shared" si="7"/>
        <v>70043.600000000006</v>
      </c>
    </row>
    <row r="203" spans="1:5">
      <c r="A203" s="3">
        <v>42674</v>
      </c>
      <c r="B203" s="9" t="s">
        <v>221</v>
      </c>
      <c r="C203" s="9" t="s">
        <v>523</v>
      </c>
      <c r="D203" s="6">
        <f t="shared" si="6"/>
        <v>68873.8</v>
      </c>
      <c r="E203" s="6">
        <f t="shared" si="7"/>
        <v>69990.3</v>
      </c>
    </row>
    <row r="204" spans="1:5">
      <c r="A204" s="2">
        <v>42704</v>
      </c>
      <c r="B204" s="9" t="s">
        <v>222</v>
      </c>
      <c r="C204" s="9" t="s">
        <v>524</v>
      </c>
      <c r="D204" s="6">
        <f t="shared" si="6"/>
        <v>71415.7</v>
      </c>
      <c r="E204" s="6">
        <f t="shared" si="7"/>
        <v>73932.600000000006</v>
      </c>
    </row>
    <row r="205" spans="1:5">
      <c r="A205" s="3">
        <v>42735</v>
      </c>
      <c r="B205" s="9" t="s">
        <v>223</v>
      </c>
      <c r="C205" s="9" t="s">
        <v>525</v>
      </c>
      <c r="D205" s="6">
        <f t="shared" si="6"/>
        <v>66858.8</v>
      </c>
      <c r="E205" s="6">
        <f t="shared" si="7"/>
        <v>67182.7</v>
      </c>
    </row>
    <row r="206" spans="1:5">
      <c r="A206" s="2">
        <v>42766</v>
      </c>
      <c r="B206" s="9" t="s">
        <v>224</v>
      </c>
      <c r="C206" s="9" t="s">
        <v>526</v>
      </c>
      <c r="D206" s="6">
        <f t="shared" si="6"/>
        <v>68046.899999999994</v>
      </c>
      <c r="E206" s="6">
        <f t="shared" si="7"/>
        <v>69974.7</v>
      </c>
    </row>
    <row r="207" spans="1:5">
      <c r="A207" s="3">
        <v>42794</v>
      </c>
      <c r="B207" s="9" t="s">
        <v>225</v>
      </c>
      <c r="C207" s="9" t="s">
        <v>527</v>
      </c>
      <c r="D207" s="6">
        <f t="shared" si="6"/>
        <v>70594</v>
      </c>
      <c r="E207" s="6">
        <f t="shared" si="7"/>
        <v>69859.399999999994</v>
      </c>
    </row>
    <row r="208" spans="1:5">
      <c r="A208" s="2">
        <v>42825</v>
      </c>
      <c r="B208" s="9" t="s">
        <v>226</v>
      </c>
      <c r="C208" s="9" t="s">
        <v>528</v>
      </c>
      <c r="D208" s="6">
        <f t="shared" si="6"/>
        <v>79963.600000000006</v>
      </c>
      <c r="E208" s="6">
        <f t="shared" si="7"/>
        <v>81906.100000000006</v>
      </c>
    </row>
    <row r="209" spans="1:5">
      <c r="A209" s="3">
        <v>42855</v>
      </c>
      <c r="B209" s="9" t="s">
        <v>227</v>
      </c>
      <c r="C209" s="9" t="s">
        <v>529</v>
      </c>
      <c r="D209" s="6">
        <f t="shared" si="6"/>
        <v>67528.399999999994</v>
      </c>
      <c r="E209" s="6">
        <f t="shared" si="7"/>
        <v>69386.2</v>
      </c>
    </row>
    <row r="210" spans="1:5">
      <c r="A210" s="2">
        <v>42886</v>
      </c>
      <c r="B210" s="9" t="s">
        <v>228</v>
      </c>
      <c r="C210" s="9" t="s">
        <v>530</v>
      </c>
      <c r="D210" s="6">
        <f t="shared" si="6"/>
        <v>73731</v>
      </c>
      <c r="E210" s="6">
        <f t="shared" si="7"/>
        <v>73349.899999999994</v>
      </c>
    </row>
    <row r="211" spans="1:5">
      <c r="A211" s="3">
        <v>42916</v>
      </c>
      <c r="B211" s="9" t="s">
        <v>229</v>
      </c>
      <c r="C211" s="9" t="s">
        <v>531</v>
      </c>
      <c r="D211" s="6">
        <f t="shared" si="6"/>
        <v>73888.5</v>
      </c>
      <c r="E211" s="6">
        <f t="shared" si="7"/>
        <v>73532.7</v>
      </c>
    </row>
    <row r="212" spans="1:5">
      <c r="A212" s="2">
        <v>42947</v>
      </c>
      <c r="B212" s="9" t="s">
        <v>230</v>
      </c>
      <c r="C212" s="9" t="s">
        <v>532</v>
      </c>
      <c r="D212" s="6">
        <f t="shared" si="6"/>
        <v>69157.7</v>
      </c>
      <c r="E212" s="6">
        <f t="shared" si="7"/>
        <v>68273.5</v>
      </c>
    </row>
    <row r="213" spans="1:5">
      <c r="A213" s="3">
        <v>42978</v>
      </c>
      <c r="B213" s="9" t="s">
        <v>231</v>
      </c>
      <c r="C213" s="9" t="s">
        <v>533</v>
      </c>
      <c r="D213" s="6">
        <f t="shared" si="6"/>
        <v>68947.199999999997</v>
      </c>
      <c r="E213" s="6">
        <f t="shared" si="7"/>
        <v>69986.399999999994</v>
      </c>
    </row>
    <row r="214" spans="1:5">
      <c r="A214" s="2">
        <v>43008</v>
      </c>
      <c r="B214" s="9" t="s">
        <v>232</v>
      </c>
      <c r="C214" s="9" t="s">
        <v>534</v>
      </c>
      <c r="D214" s="6">
        <f t="shared" si="6"/>
        <v>76558.7</v>
      </c>
      <c r="E214" s="6">
        <f t="shared" si="7"/>
        <v>78286.7</v>
      </c>
    </row>
    <row r="215" spans="1:5">
      <c r="A215" s="3">
        <v>43039</v>
      </c>
      <c r="B215" s="9" t="s">
        <v>233</v>
      </c>
      <c r="C215" s="9" t="s">
        <v>535</v>
      </c>
      <c r="D215" s="6">
        <f t="shared" si="6"/>
        <v>79556.7</v>
      </c>
      <c r="E215" s="6">
        <f t="shared" si="7"/>
        <v>81190.5</v>
      </c>
    </row>
    <row r="216" spans="1:5">
      <c r="A216" s="2">
        <v>43069</v>
      </c>
      <c r="B216" s="9" t="s">
        <v>234</v>
      </c>
      <c r="C216" s="9" t="s">
        <v>536</v>
      </c>
      <c r="D216" s="6">
        <f t="shared" si="6"/>
        <v>79913.3</v>
      </c>
      <c r="E216" s="6">
        <f t="shared" si="7"/>
        <v>80209.600000000006</v>
      </c>
    </row>
    <row r="217" spans="1:5">
      <c r="A217" s="3">
        <v>43100</v>
      </c>
      <c r="B217" s="9" t="s">
        <v>235</v>
      </c>
      <c r="C217" s="9" t="s">
        <v>537</v>
      </c>
      <c r="D217" s="6">
        <f t="shared" si="6"/>
        <v>72192.399999999994</v>
      </c>
      <c r="E217" s="6">
        <f t="shared" si="7"/>
        <v>66663.8</v>
      </c>
    </row>
    <row r="218" spans="1:5">
      <c r="A218" s="2">
        <v>43131</v>
      </c>
      <c r="B218" s="9" t="s">
        <v>236</v>
      </c>
      <c r="C218" s="9" t="s">
        <v>538</v>
      </c>
      <c r="D218" s="6">
        <f t="shared" si="6"/>
        <v>76630.5</v>
      </c>
      <c r="E218" s="6">
        <f t="shared" si="7"/>
        <v>74484.7</v>
      </c>
    </row>
    <row r="219" spans="1:5">
      <c r="A219" s="3">
        <v>43159</v>
      </c>
      <c r="B219" s="9" t="s">
        <v>237</v>
      </c>
      <c r="C219" s="9" t="s">
        <v>539</v>
      </c>
      <c r="D219" s="6">
        <f t="shared" si="6"/>
        <v>74282.5</v>
      </c>
      <c r="E219" s="6">
        <f t="shared" si="7"/>
        <v>71882</v>
      </c>
    </row>
    <row r="220" spans="1:5">
      <c r="A220" s="2">
        <v>43190</v>
      </c>
      <c r="B220" s="9" t="s">
        <v>238</v>
      </c>
      <c r="C220" s="9" t="s">
        <v>540</v>
      </c>
      <c r="D220" s="6">
        <f t="shared" si="6"/>
        <v>82427.199999999997</v>
      </c>
      <c r="E220" s="6">
        <f t="shared" si="7"/>
        <v>80730.5</v>
      </c>
    </row>
    <row r="221" spans="1:5">
      <c r="A221" s="3">
        <v>43220</v>
      </c>
      <c r="B221" s="9" t="s">
        <v>239</v>
      </c>
      <c r="C221" s="9" t="s">
        <v>541</v>
      </c>
      <c r="D221" s="6">
        <f t="shared" si="6"/>
        <v>76700.3</v>
      </c>
      <c r="E221" s="6">
        <f t="shared" si="7"/>
        <v>76642.3</v>
      </c>
    </row>
    <row r="222" spans="1:5">
      <c r="A222" s="2">
        <v>43251</v>
      </c>
      <c r="B222" s="9" t="s">
        <v>240</v>
      </c>
      <c r="C222" s="9" t="s">
        <v>542</v>
      </c>
      <c r="D222" s="6">
        <f t="shared" si="6"/>
        <v>78075.600000000006</v>
      </c>
      <c r="E222" s="6">
        <f t="shared" si="7"/>
        <v>78234.100000000006</v>
      </c>
    </row>
    <row r="223" spans="1:5">
      <c r="A223" s="3">
        <v>43281</v>
      </c>
      <c r="B223" s="9" t="s">
        <v>241</v>
      </c>
      <c r="C223" s="9" t="s">
        <v>543</v>
      </c>
      <c r="D223" s="6">
        <f t="shared" si="6"/>
        <v>84072.5</v>
      </c>
      <c r="E223" s="6">
        <f t="shared" si="7"/>
        <v>82355.7</v>
      </c>
    </row>
    <row r="224" spans="1:5">
      <c r="A224" s="2">
        <v>43312</v>
      </c>
      <c r="B224" s="9" t="s">
        <v>242</v>
      </c>
      <c r="C224" s="9" t="s">
        <v>544</v>
      </c>
      <c r="D224" s="6">
        <f t="shared" si="6"/>
        <v>79702.600000000006</v>
      </c>
      <c r="E224" s="6">
        <f t="shared" si="7"/>
        <v>78540.2</v>
      </c>
    </row>
    <row r="225" spans="1:5">
      <c r="A225" s="3">
        <v>43343</v>
      </c>
      <c r="B225" s="9" t="s">
        <v>243</v>
      </c>
      <c r="C225" s="9" t="s">
        <v>545</v>
      </c>
      <c r="D225" s="6">
        <f t="shared" si="6"/>
        <v>79650.7</v>
      </c>
      <c r="E225" s="6">
        <f t="shared" si="7"/>
        <v>76323.399999999994</v>
      </c>
    </row>
    <row r="226" spans="1:5">
      <c r="A226" s="2">
        <v>43373</v>
      </c>
      <c r="B226" s="9" t="s">
        <v>244</v>
      </c>
      <c r="C226" s="9" t="s">
        <v>546</v>
      </c>
      <c r="D226" s="6">
        <f t="shared" si="6"/>
        <v>81385.5</v>
      </c>
      <c r="E226" s="6">
        <f t="shared" si="7"/>
        <v>81448.399999999994</v>
      </c>
    </row>
    <row r="227" spans="1:5">
      <c r="A227" s="3">
        <v>43404</v>
      </c>
      <c r="B227" s="9" t="s">
        <v>245</v>
      </c>
      <c r="C227" s="9" t="s">
        <v>547</v>
      </c>
      <c r="D227" s="6">
        <f t="shared" si="6"/>
        <v>92962.6</v>
      </c>
      <c r="E227" s="6">
        <f t="shared" si="7"/>
        <v>91405.6</v>
      </c>
    </row>
    <row r="228" spans="1:5">
      <c r="A228" s="2">
        <v>43434</v>
      </c>
      <c r="B228" s="9" t="s">
        <v>246</v>
      </c>
      <c r="C228" s="9" t="s">
        <v>548</v>
      </c>
      <c r="D228" s="6">
        <f t="shared" si="6"/>
        <v>89181</v>
      </c>
      <c r="E228" s="6">
        <f t="shared" si="7"/>
        <v>89497.7</v>
      </c>
    </row>
    <row r="229" spans="1:5">
      <c r="A229" s="3">
        <v>43465</v>
      </c>
      <c r="B229" s="9" t="s">
        <v>247</v>
      </c>
      <c r="C229" s="9" t="s">
        <v>549</v>
      </c>
      <c r="D229" s="6">
        <f t="shared" si="6"/>
        <v>75759.8</v>
      </c>
      <c r="E229" s="6">
        <f t="shared" si="7"/>
        <v>69779.600000000006</v>
      </c>
    </row>
    <row r="230" spans="1:5">
      <c r="A230" s="2">
        <v>43496</v>
      </c>
      <c r="B230" s="9" t="s">
        <v>248</v>
      </c>
      <c r="C230" s="9" t="s">
        <v>550</v>
      </c>
      <c r="D230" s="6">
        <f t="shared" si="6"/>
        <v>81878.899999999994</v>
      </c>
      <c r="E230" s="6">
        <f t="shared" si="7"/>
        <v>82612.7</v>
      </c>
    </row>
    <row r="231" spans="1:5">
      <c r="A231" s="3">
        <v>43524</v>
      </c>
      <c r="B231" s="9" t="s">
        <v>249</v>
      </c>
      <c r="C231" s="9" t="s">
        <v>551</v>
      </c>
      <c r="D231" s="6">
        <f t="shared" si="6"/>
        <v>84262.5</v>
      </c>
      <c r="E231" s="6">
        <f t="shared" si="7"/>
        <v>82307.600000000006</v>
      </c>
    </row>
    <row r="232" spans="1:5">
      <c r="A232" s="2">
        <v>43555</v>
      </c>
      <c r="B232" s="9" t="s">
        <v>250</v>
      </c>
      <c r="C232" s="9" t="s">
        <v>552</v>
      </c>
      <c r="D232" s="6">
        <f t="shared" si="6"/>
        <v>87102.399999999994</v>
      </c>
      <c r="E232" s="6">
        <f t="shared" si="7"/>
        <v>89599.3</v>
      </c>
    </row>
    <row r="233" spans="1:5">
      <c r="A233" s="3">
        <v>43585</v>
      </c>
      <c r="B233" s="9" t="s">
        <v>251</v>
      </c>
      <c r="C233" s="9" t="s">
        <v>553</v>
      </c>
      <c r="D233" s="6">
        <f t="shared" si="6"/>
        <v>84976.7</v>
      </c>
      <c r="E233" s="6">
        <f t="shared" si="7"/>
        <v>85562.6</v>
      </c>
    </row>
    <row r="234" spans="1:5">
      <c r="A234" s="2">
        <v>43616</v>
      </c>
      <c r="B234" s="9" t="s">
        <v>252</v>
      </c>
      <c r="C234" s="9" t="s">
        <v>554</v>
      </c>
      <c r="D234" s="6">
        <f t="shared" si="6"/>
        <v>88383.9</v>
      </c>
      <c r="E234" s="6">
        <f t="shared" si="7"/>
        <v>87322.1</v>
      </c>
    </row>
    <row r="235" spans="1:5">
      <c r="A235" s="3">
        <v>43646</v>
      </c>
      <c r="B235" s="9" t="s">
        <v>253</v>
      </c>
      <c r="C235" s="9" t="s">
        <v>555</v>
      </c>
      <c r="D235" s="6">
        <f t="shared" si="6"/>
        <v>79441.600000000006</v>
      </c>
      <c r="E235" s="6">
        <f t="shared" si="7"/>
        <v>79853.399999999994</v>
      </c>
    </row>
    <row r="236" spans="1:5">
      <c r="A236" s="2">
        <v>43677</v>
      </c>
      <c r="B236" s="9" t="s">
        <v>254</v>
      </c>
      <c r="C236" s="9" t="s">
        <v>556</v>
      </c>
      <c r="D236" s="6">
        <f t="shared" si="6"/>
        <v>85302.8</v>
      </c>
      <c r="E236" s="6">
        <f t="shared" si="7"/>
        <v>84773.2</v>
      </c>
    </row>
    <row r="237" spans="1:5">
      <c r="A237" s="3">
        <v>43708</v>
      </c>
      <c r="B237" s="9" t="s">
        <v>255</v>
      </c>
      <c r="C237" s="9" t="s">
        <v>557</v>
      </c>
      <c r="D237" s="6">
        <f t="shared" si="6"/>
        <v>79596.2</v>
      </c>
      <c r="E237" s="6">
        <f t="shared" si="7"/>
        <v>78503.199999999997</v>
      </c>
    </row>
    <row r="238" spans="1:5">
      <c r="A238" s="2">
        <v>43738</v>
      </c>
      <c r="B238" s="9" t="s">
        <v>256</v>
      </c>
      <c r="C238" s="9" t="s">
        <v>558</v>
      </c>
      <c r="D238" s="6">
        <f t="shared" si="6"/>
        <v>86733.9</v>
      </c>
      <c r="E238" s="6">
        <f t="shared" si="7"/>
        <v>89436.4</v>
      </c>
    </row>
    <row r="239" spans="1:5">
      <c r="A239" s="3">
        <v>43769</v>
      </c>
      <c r="B239" s="9" t="s">
        <v>257</v>
      </c>
      <c r="C239" s="9" t="s">
        <v>559</v>
      </c>
      <c r="D239" s="6">
        <f t="shared" si="6"/>
        <v>95273</v>
      </c>
      <c r="E239" s="6">
        <f t="shared" si="7"/>
        <v>96251.6</v>
      </c>
    </row>
    <row r="240" spans="1:5">
      <c r="A240" s="2">
        <v>43799</v>
      </c>
      <c r="B240" s="9" t="s">
        <v>258</v>
      </c>
      <c r="C240" s="9" t="s">
        <v>560</v>
      </c>
      <c r="D240" s="6">
        <f t="shared" si="6"/>
        <v>87917</v>
      </c>
      <c r="E240" s="6">
        <f t="shared" si="7"/>
        <v>90224.1</v>
      </c>
    </row>
    <row r="241" spans="1:5">
      <c r="A241" s="3">
        <v>43830</v>
      </c>
      <c r="B241" s="9" t="s">
        <v>259</v>
      </c>
      <c r="C241" s="9" t="s">
        <v>561</v>
      </c>
      <c r="D241" s="6">
        <f t="shared" si="6"/>
        <v>77610.100000000006</v>
      </c>
      <c r="E241" s="6">
        <f t="shared" si="7"/>
        <v>77145.2</v>
      </c>
    </row>
    <row r="242" spans="1:5">
      <c r="A242" s="2">
        <v>43861</v>
      </c>
      <c r="B242" s="9" t="s">
        <v>260</v>
      </c>
      <c r="C242" s="9" t="s">
        <v>562</v>
      </c>
      <c r="D242" s="6">
        <f t="shared" si="6"/>
        <v>85719.3</v>
      </c>
      <c r="E242" s="6">
        <f t="shared" si="7"/>
        <v>86107.7</v>
      </c>
    </row>
    <row r="243" spans="1:5">
      <c r="A243" s="3">
        <v>43890</v>
      </c>
      <c r="B243" s="9" t="s">
        <v>261</v>
      </c>
      <c r="C243" s="9" t="s">
        <v>563</v>
      </c>
      <c r="D243" s="6">
        <f t="shared" si="6"/>
        <v>85322</v>
      </c>
      <c r="E243" s="6">
        <f t="shared" si="7"/>
        <v>88031.8</v>
      </c>
    </row>
    <row r="244" spans="1:5">
      <c r="A244" s="2">
        <v>43921</v>
      </c>
      <c r="B244" s="9" t="s">
        <v>262</v>
      </c>
      <c r="C244" s="9" t="s">
        <v>564</v>
      </c>
      <c r="D244" s="6">
        <f t="shared" si="6"/>
        <v>88630.1</v>
      </c>
      <c r="E244" s="6">
        <f t="shared" si="7"/>
        <v>88009.4</v>
      </c>
    </row>
    <row r="245" spans="1:5">
      <c r="A245" s="3">
        <v>43951</v>
      </c>
      <c r="B245" s="9" t="s">
        <v>263</v>
      </c>
      <c r="C245" s="9" t="s">
        <v>565</v>
      </c>
      <c r="D245" s="6">
        <f t="shared" si="6"/>
        <v>65723.899999999994</v>
      </c>
      <c r="E245" s="6">
        <f t="shared" si="7"/>
        <v>64539.199999999997</v>
      </c>
    </row>
    <row r="246" spans="1:5">
      <c r="A246" s="2">
        <v>43982</v>
      </c>
      <c r="B246" s="9" t="s">
        <v>264</v>
      </c>
      <c r="C246" s="9" t="s">
        <v>566</v>
      </c>
      <c r="D246" s="6">
        <f t="shared" si="6"/>
        <v>68818.8</v>
      </c>
      <c r="E246" s="6">
        <f t="shared" si="7"/>
        <v>73773.5</v>
      </c>
    </row>
    <row r="247" spans="1:5">
      <c r="A247" s="3">
        <v>44012</v>
      </c>
      <c r="B247" s="9" t="s">
        <v>265</v>
      </c>
      <c r="C247" s="9" t="s">
        <v>567</v>
      </c>
      <c r="D247" s="6">
        <f t="shared" si="6"/>
        <v>76534.3</v>
      </c>
      <c r="E247" s="6">
        <f t="shared" si="7"/>
        <v>86983.2</v>
      </c>
    </row>
    <row r="248" spans="1:5">
      <c r="A248" s="2">
        <v>44043</v>
      </c>
      <c r="B248" s="9" t="s">
        <v>266</v>
      </c>
      <c r="C248" s="9" t="s">
        <v>568</v>
      </c>
      <c r="D248" s="6">
        <f t="shared" si="6"/>
        <v>86807</v>
      </c>
      <c r="E248" s="6">
        <f t="shared" si="7"/>
        <v>89307.1</v>
      </c>
    </row>
    <row r="249" spans="1:5">
      <c r="A249" s="3">
        <v>44074</v>
      </c>
      <c r="B249" s="9" t="s">
        <v>267</v>
      </c>
      <c r="C249" s="9" t="s">
        <v>569</v>
      </c>
      <c r="D249" s="6">
        <f t="shared" si="6"/>
        <v>77880.800000000003</v>
      </c>
      <c r="E249" s="6">
        <f t="shared" si="7"/>
        <v>81839.399999999994</v>
      </c>
    </row>
    <row r="250" spans="1:5">
      <c r="A250" s="2">
        <v>44104</v>
      </c>
      <c r="B250" s="9" t="s">
        <v>268</v>
      </c>
      <c r="C250" s="9" t="s">
        <v>570</v>
      </c>
      <c r="D250" s="6">
        <f t="shared" si="6"/>
        <v>92424</v>
      </c>
      <c r="E250" s="6">
        <f t="shared" si="7"/>
        <v>99139.7</v>
      </c>
    </row>
    <row r="251" spans="1:5">
      <c r="A251" s="3">
        <v>44135</v>
      </c>
      <c r="B251" s="9" t="s">
        <v>269</v>
      </c>
      <c r="C251" s="9" t="s">
        <v>571</v>
      </c>
      <c r="D251" s="6">
        <f t="shared" si="6"/>
        <v>99148.5</v>
      </c>
      <c r="E251" s="6">
        <f t="shared" si="7"/>
        <v>106952.6</v>
      </c>
    </row>
    <row r="252" spans="1:5">
      <c r="A252" s="2">
        <v>44165</v>
      </c>
      <c r="B252" s="9" t="s">
        <v>270</v>
      </c>
      <c r="C252" s="9" t="s">
        <v>572</v>
      </c>
      <c r="D252" s="6">
        <f t="shared" si="6"/>
        <v>98581.1</v>
      </c>
      <c r="E252" s="6">
        <f t="shared" si="7"/>
        <v>106121.5</v>
      </c>
    </row>
    <row r="253" spans="1:5">
      <c r="A253" s="3">
        <v>44196</v>
      </c>
      <c r="B253" s="9" t="s">
        <v>271</v>
      </c>
      <c r="C253" s="9" t="s">
        <v>573</v>
      </c>
      <c r="D253" s="6">
        <f t="shared" si="6"/>
        <v>89769.600000000006</v>
      </c>
      <c r="E253" s="6">
        <f t="shared" si="7"/>
        <v>91708.5</v>
      </c>
    </row>
    <row r="254" spans="1:5">
      <c r="A254" s="2">
        <v>44227</v>
      </c>
      <c r="B254" s="9" t="s">
        <v>272</v>
      </c>
      <c r="C254" s="9" t="s">
        <v>574</v>
      </c>
      <c r="D254" s="6">
        <f t="shared" si="6"/>
        <v>87308.5</v>
      </c>
      <c r="E254" s="6">
        <f t="shared" si="7"/>
        <v>92898.2</v>
      </c>
    </row>
    <row r="255" spans="1:5">
      <c r="A255" s="3">
        <v>44255</v>
      </c>
      <c r="B255" s="9" t="s">
        <v>273</v>
      </c>
      <c r="C255" s="9" t="s">
        <v>575</v>
      </c>
      <c r="D255" s="6">
        <f t="shared" si="6"/>
        <v>96304.2</v>
      </c>
      <c r="E255" s="6">
        <f t="shared" si="7"/>
        <v>98725.7</v>
      </c>
    </row>
    <row r="256" spans="1:5">
      <c r="A256" s="2">
        <v>44286</v>
      </c>
      <c r="B256" s="9" t="s">
        <v>274</v>
      </c>
      <c r="C256" s="9" t="s">
        <v>576</v>
      </c>
      <c r="D256" s="6">
        <f t="shared" si="6"/>
        <v>113215.9</v>
      </c>
      <c r="E256" s="6">
        <f t="shared" si="7"/>
        <v>115470.7</v>
      </c>
    </row>
    <row r="257" spans="1:5">
      <c r="A257" s="3">
        <v>44316</v>
      </c>
      <c r="B257" s="9" t="s">
        <v>275</v>
      </c>
      <c r="C257" s="9" t="s">
        <v>577</v>
      </c>
      <c r="D257" s="6">
        <f t="shared" si="6"/>
        <v>102413.8</v>
      </c>
      <c r="E257" s="6">
        <f t="shared" si="7"/>
        <v>109102.8</v>
      </c>
    </row>
    <row r="258" spans="1:5">
      <c r="A258" s="2">
        <v>44347</v>
      </c>
      <c r="B258" s="9" t="s">
        <v>276</v>
      </c>
      <c r="C258" s="9" t="s">
        <v>578</v>
      </c>
      <c r="D258" s="6">
        <f t="shared" si="6"/>
        <v>105007.6</v>
      </c>
      <c r="E258" s="6">
        <f t="shared" si="7"/>
        <v>104738.6</v>
      </c>
    </row>
    <row r="259" spans="1:5">
      <c r="A259" s="3">
        <v>44377</v>
      </c>
      <c r="B259" s="9" t="s">
        <v>277</v>
      </c>
      <c r="C259" s="9" t="s">
        <v>579</v>
      </c>
      <c r="D259" s="6">
        <f t="shared" ref="D259:D303" si="8">B259*1</f>
        <v>107557.7</v>
      </c>
      <c r="E259" s="6">
        <f t="shared" ref="E259:E303" si="9">C259*1</f>
        <v>109425.1</v>
      </c>
    </row>
    <row r="260" spans="1:5">
      <c r="A260" s="2">
        <v>44408</v>
      </c>
      <c r="B260" s="9" t="s">
        <v>278</v>
      </c>
      <c r="C260" s="9" t="s">
        <v>580</v>
      </c>
      <c r="D260" s="6">
        <f t="shared" si="8"/>
        <v>109206.1</v>
      </c>
      <c r="E260" s="6">
        <f t="shared" si="9"/>
        <v>106321.7</v>
      </c>
    </row>
    <row r="261" spans="1:5">
      <c r="A261" s="3">
        <v>44439</v>
      </c>
      <c r="B261" s="9" t="s">
        <v>279</v>
      </c>
      <c r="C261" s="9" t="s">
        <v>581</v>
      </c>
      <c r="D261" s="6">
        <f t="shared" si="8"/>
        <v>107137.5</v>
      </c>
      <c r="E261" s="6">
        <f t="shared" si="9"/>
        <v>101702.2</v>
      </c>
    </row>
    <row r="262" spans="1:5">
      <c r="A262" s="2">
        <v>44469</v>
      </c>
      <c r="B262" s="9" t="s">
        <v>280</v>
      </c>
      <c r="C262" s="9" t="s">
        <v>582</v>
      </c>
      <c r="D262" s="6">
        <f t="shared" si="8"/>
        <v>115245.8</v>
      </c>
      <c r="E262" s="6">
        <f t="shared" si="9"/>
        <v>114068</v>
      </c>
    </row>
    <row r="263" spans="1:5">
      <c r="A263" s="3">
        <v>44500</v>
      </c>
      <c r="B263" s="9" t="s">
        <v>281</v>
      </c>
      <c r="C263" s="9" t="s">
        <v>583</v>
      </c>
      <c r="D263" s="6">
        <f t="shared" si="8"/>
        <v>120818.1</v>
      </c>
      <c r="E263" s="6">
        <f t="shared" si="9"/>
        <v>119297.7</v>
      </c>
    </row>
    <row r="264" spans="1:5">
      <c r="A264" s="2">
        <v>44530</v>
      </c>
      <c r="B264" s="9" t="s">
        <v>282</v>
      </c>
      <c r="C264" s="9" t="s">
        <v>584</v>
      </c>
      <c r="D264" s="6">
        <f t="shared" si="8"/>
        <v>131750.9</v>
      </c>
      <c r="E264" s="6">
        <f t="shared" si="9"/>
        <v>129752.9</v>
      </c>
    </row>
    <row r="265" spans="1:5">
      <c r="A265" s="3">
        <v>44561</v>
      </c>
      <c r="B265" s="9" t="s">
        <v>283</v>
      </c>
      <c r="C265" s="9" t="s">
        <v>585</v>
      </c>
      <c r="D265" s="6">
        <f t="shared" si="8"/>
        <v>127034.2</v>
      </c>
      <c r="E265" s="6">
        <f t="shared" si="9"/>
        <v>114474.1</v>
      </c>
    </row>
    <row r="266" spans="1:5">
      <c r="A266" s="2">
        <v>44592</v>
      </c>
      <c r="B266" s="9" t="s">
        <v>284</v>
      </c>
      <c r="C266" s="9" t="s">
        <v>586</v>
      </c>
      <c r="D266" s="6">
        <f t="shared" si="8"/>
        <v>118102.1</v>
      </c>
      <c r="E266" s="6">
        <f t="shared" si="9"/>
        <v>117336.1</v>
      </c>
    </row>
    <row r="267" spans="1:5">
      <c r="A267" s="3">
        <v>44620</v>
      </c>
      <c r="B267" s="9" t="s">
        <v>285</v>
      </c>
      <c r="C267" s="9" t="s">
        <v>587</v>
      </c>
      <c r="D267" s="6">
        <f t="shared" si="8"/>
        <v>124248.8</v>
      </c>
      <c r="E267" s="6">
        <f t="shared" si="9"/>
        <v>119587</v>
      </c>
    </row>
    <row r="268" spans="1:5">
      <c r="A268" s="2">
        <v>44651</v>
      </c>
      <c r="B268" s="9" t="s">
        <v>286</v>
      </c>
      <c r="C268" s="9" t="s">
        <v>588</v>
      </c>
      <c r="D268" s="6">
        <f t="shared" si="8"/>
        <v>151726.1</v>
      </c>
      <c r="E268" s="6">
        <f t="shared" si="9"/>
        <v>135508</v>
      </c>
    </row>
    <row r="269" spans="1:5">
      <c r="A269" s="3">
        <v>44681</v>
      </c>
      <c r="B269" s="9" t="s">
        <v>287</v>
      </c>
      <c r="C269" s="9" t="s">
        <v>589</v>
      </c>
      <c r="D269" s="6">
        <f t="shared" si="8"/>
        <v>139989.29999999999</v>
      </c>
      <c r="E269" s="6">
        <f t="shared" si="9"/>
        <v>128426.9</v>
      </c>
    </row>
    <row r="270" spans="1:5">
      <c r="A270" s="2">
        <v>44712</v>
      </c>
      <c r="B270" s="9" t="s">
        <v>288</v>
      </c>
      <c r="C270" s="9" t="s">
        <v>590</v>
      </c>
      <c r="D270" s="6">
        <f t="shared" si="8"/>
        <v>141548.70000000001</v>
      </c>
      <c r="E270" s="6">
        <f t="shared" si="9"/>
        <v>136492.79999999999</v>
      </c>
    </row>
    <row r="271" spans="1:5">
      <c r="A271" s="3">
        <v>44742</v>
      </c>
      <c r="B271" s="9" t="s">
        <v>289</v>
      </c>
      <c r="C271" s="9" t="s">
        <v>591</v>
      </c>
      <c r="D271" s="6">
        <f t="shared" si="8"/>
        <v>140830.20000000001</v>
      </c>
      <c r="E271" s="6">
        <f t="shared" si="9"/>
        <v>136664.29999999999</v>
      </c>
    </row>
    <row r="272" spans="1:5">
      <c r="A272" s="2">
        <v>44773</v>
      </c>
      <c r="B272" s="9" t="s">
        <v>290</v>
      </c>
      <c r="C272" s="9" t="s">
        <v>592</v>
      </c>
      <c r="D272" s="6">
        <f t="shared" si="8"/>
        <v>138460.6</v>
      </c>
      <c r="E272" s="6">
        <f t="shared" si="9"/>
        <v>131046.1</v>
      </c>
    </row>
    <row r="273" spans="1:5">
      <c r="A273" s="3">
        <v>44804</v>
      </c>
      <c r="B273" s="9" t="s">
        <v>291</v>
      </c>
      <c r="C273" s="9" t="s">
        <v>593</v>
      </c>
      <c r="D273" s="6">
        <f t="shared" si="8"/>
        <v>142353.5</v>
      </c>
      <c r="E273" s="6">
        <f t="shared" si="9"/>
        <v>132110.39999999999</v>
      </c>
    </row>
    <row r="274" spans="1:5">
      <c r="A274" s="2">
        <v>44834</v>
      </c>
      <c r="B274" s="9" t="s">
        <v>292</v>
      </c>
      <c r="C274" s="9" t="s">
        <v>594</v>
      </c>
      <c r="D274" s="6">
        <f t="shared" si="8"/>
        <v>156928.70000000001</v>
      </c>
      <c r="E274" s="6">
        <f t="shared" si="9"/>
        <v>146539.70000000001</v>
      </c>
    </row>
    <row r="275" spans="1:5">
      <c r="A275" s="3">
        <v>44865</v>
      </c>
      <c r="B275" s="9" t="s">
        <v>293</v>
      </c>
      <c r="C275" s="9" t="s">
        <v>595</v>
      </c>
      <c r="D275" s="6">
        <f t="shared" si="8"/>
        <v>158781.29999999999</v>
      </c>
      <c r="E275" s="6">
        <f t="shared" si="9"/>
        <v>150459.20000000001</v>
      </c>
    </row>
    <row r="276" spans="1:5">
      <c r="A276" s="2">
        <v>44895</v>
      </c>
      <c r="B276" s="9" t="s">
        <v>294</v>
      </c>
      <c r="C276" s="9" t="s">
        <v>596</v>
      </c>
      <c r="D276" s="6">
        <f t="shared" si="8"/>
        <v>156923</v>
      </c>
      <c r="E276" s="6">
        <f t="shared" si="9"/>
        <v>156099.70000000001</v>
      </c>
    </row>
    <row r="277" spans="1:5">
      <c r="A277" s="3">
        <v>44926</v>
      </c>
      <c r="B277" s="9" t="s">
        <v>295</v>
      </c>
      <c r="C277" s="9" t="s">
        <v>597</v>
      </c>
      <c r="D277" s="6">
        <f t="shared" si="8"/>
        <v>141868.9</v>
      </c>
      <c r="E277" s="6">
        <f t="shared" si="9"/>
        <v>128289.1</v>
      </c>
    </row>
    <row r="278" spans="1:5">
      <c r="A278" s="2">
        <v>44957</v>
      </c>
      <c r="B278" s="9" t="s">
        <v>296</v>
      </c>
      <c r="C278" s="9" t="s">
        <v>598</v>
      </c>
      <c r="D278" s="6">
        <f t="shared" si="8"/>
        <v>135808.79999999999</v>
      </c>
      <c r="E278" s="6">
        <f t="shared" si="9"/>
        <v>139306.9</v>
      </c>
    </row>
    <row r="279" spans="1:5">
      <c r="A279" s="3">
        <v>44985</v>
      </c>
      <c r="B279" s="9" t="s">
        <v>297</v>
      </c>
      <c r="C279" s="9" t="s">
        <v>599</v>
      </c>
      <c r="D279" s="6">
        <f t="shared" si="8"/>
        <v>132287.29999999999</v>
      </c>
      <c r="E279" s="6">
        <f t="shared" si="9"/>
        <v>137254.9</v>
      </c>
    </row>
    <row r="280" spans="1:5">
      <c r="A280" s="2">
        <v>45016</v>
      </c>
      <c r="B280" s="9" t="s">
        <v>298</v>
      </c>
      <c r="C280" s="9" t="s">
        <v>600</v>
      </c>
      <c r="D280" s="6">
        <f t="shared" si="8"/>
        <v>148360.6</v>
      </c>
      <c r="E280" s="6">
        <f t="shared" si="9"/>
        <v>155395</v>
      </c>
    </row>
    <row r="281" spans="1:5">
      <c r="A281" s="3">
        <v>45046</v>
      </c>
      <c r="B281" s="9" t="s">
        <v>299</v>
      </c>
      <c r="C281" s="9" t="s">
        <v>601</v>
      </c>
      <c r="D281" s="6">
        <f t="shared" si="8"/>
        <v>128752.2</v>
      </c>
      <c r="E281" s="6">
        <f t="shared" si="9"/>
        <v>131385.60000000001</v>
      </c>
    </row>
    <row r="282" spans="1:5">
      <c r="A282" s="2">
        <v>45077</v>
      </c>
      <c r="B282" s="9" t="s">
        <v>300</v>
      </c>
      <c r="C282" s="9" t="s">
        <v>602</v>
      </c>
      <c r="D282" s="6">
        <f t="shared" si="8"/>
        <v>131960.4</v>
      </c>
      <c r="E282" s="6">
        <f t="shared" si="9"/>
        <v>137603.4</v>
      </c>
    </row>
    <row r="283" spans="1:5">
      <c r="A283" s="3">
        <v>45107</v>
      </c>
      <c r="B283" s="9" t="s">
        <v>301</v>
      </c>
      <c r="C283" s="9" t="s">
        <v>603</v>
      </c>
      <c r="D283" s="6">
        <f t="shared" si="8"/>
        <v>128195.8</v>
      </c>
      <c r="E283" s="6">
        <f t="shared" si="9"/>
        <v>136132.70000000001</v>
      </c>
    </row>
    <row r="284" spans="1:5">
      <c r="A284" s="2">
        <v>45138</v>
      </c>
      <c r="B284" s="9" t="s">
        <v>302</v>
      </c>
      <c r="C284" s="9" t="s">
        <v>604</v>
      </c>
      <c r="D284" s="6">
        <f t="shared" si="8"/>
        <v>121573.4</v>
      </c>
      <c r="E284" s="6">
        <f t="shared" si="9"/>
        <v>123147.8</v>
      </c>
    </row>
    <row r="285" spans="1:5">
      <c r="A285" s="3">
        <v>45169</v>
      </c>
      <c r="B285" s="9" t="s">
        <v>303</v>
      </c>
      <c r="C285" s="9" t="s">
        <v>605</v>
      </c>
      <c r="D285" s="6">
        <f t="shared" si="8"/>
        <v>120031.6</v>
      </c>
      <c r="E285" s="6">
        <f t="shared" si="9"/>
        <v>121303.4</v>
      </c>
    </row>
    <row r="286" spans="1:5">
      <c r="A286" s="2">
        <v>45199</v>
      </c>
      <c r="B286" s="9" t="s">
        <v>304</v>
      </c>
      <c r="C286" s="9" t="s">
        <v>606</v>
      </c>
      <c r="D286" s="6">
        <f t="shared" si="8"/>
        <v>129667.2</v>
      </c>
      <c r="E286" s="6">
        <f t="shared" si="9"/>
        <v>134754.6</v>
      </c>
    </row>
    <row r="287" spans="1:5">
      <c r="A287" s="3">
        <v>45230</v>
      </c>
      <c r="B287" s="9" t="s">
        <v>305</v>
      </c>
      <c r="C287" s="9" t="s">
        <v>607</v>
      </c>
      <c r="D287" s="6">
        <f t="shared" si="8"/>
        <v>139369.1</v>
      </c>
      <c r="E287" s="6">
        <f t="shared" si="9"/>
        <v>145183.5</v>
      </c>
    </row>
    <row r="288" spans="1:5">
      <c r="A288" s="2">
        <v>45260</v>
      </c>
      <c r="B288" s="9" t="s">
        <v>306</v>
      </c>
      <c r="C288" s="9" t="s">
        <v>608</v>
      </c>
      <c r="D288" s="6">
        <f t="shared" si="8"/>
        <v>137198.5</v>
      </c>
      <c r="E288" s="6">
        <f t="shared" si="9"/>
        <v>139081</v>
      </c>
    </row>
    <row r="289" spans="1:5">
      <c r="A289" s="3">
        <v>45291</v>
      </c>
      <c r="B289" s="9" t="s">
        <v>307</v>
      </c>
      <c r="C289" s="9" t="s">
        <v>609</v>
      </c>
      <c r="D289" s="6">
        <f t="shared" si="8"/>
        <v>115124.2</v>
      </c>
      <c r="E289" s="6">
        <f t="shared" si="9"/>
        <v>112844.3</v>
      </c>
    </row>
    <row r="290" spans="1:5">
      <c r="A290" s="2">
        <v>45322</v>
      </c>
      <c r="B290" s="9" t="s">
        <v>308</v>
      </c>
      <c r="C290" s="9" t="s">
        <v>610</v>
      </c>
      <c r="D290" s="6">
        <f t="shared" si="8"/>
        <v>119431.9</v>
      </c>
      <c r="E290" s="6">
        <f t="shared" si="9"/>
        <v>125966</v>
      </c>
    </row>
    <row r="291" spans="1:5">
      <c r="A291" s="3">
        <v>45351</v>
      </c>
      <c r="B291" s="9" t="s">
        <v>309</v>
      </c>
      <c r="C291" s="9" t="s">
        <v>611</v>
      </c>
      <c r="D291" s="6">
        <f t="shared" si="8"/>
        <v>123739.4</v>
      </c>
      <c r="E291" s="6">
        <f t="shared" si="9"/>
        <v>127335.9</v>
      </c>
    </row>
    <row r="292" spans="1:5">
      <c r="A292" s="2">
        <v>45382</v>
      </c>
      <c r="B292" s="9" t="s">
        <v>310</v>
      </c>
      <c r="C292" s="9" t="s">
        <v>612</v>
      </c>
      <c r="D292" s="6">
        <f t="shared" si="8"/>
        <v>125604.3</v>
      </c>
      <c r="E292" s="6">
        <f t="shared" si="9"/>
        <v>129896.1</v>
      </c>
    </row>
    <row r="293" spans="1:5">
      <c r="A293" s="3">
        <v>45412</v>
      </c>
      <c r="B293" s="9" t="s">
        <v>311</v>
      </c>
      <c r="C293" s="9" t="s">
        <v>613</v>
      </c>
      <c r="D293" s="6">
        <f t="shared" si="8"/>
        <v>127655</v>
      </c>
      <c r="E293" s="6">
        <f t="shared" si="9"/>
        <v>130202.2</v>
      </c>
    </row>
    <row r="294" spans="1:5">
      <c r="A294" s="2">
        <v>45443</v>
      </c>
      <c r="B294" s="9" t="s">
        <v>312</v>
      </c>
      <c r="C294" s="9" t="s">
        <v>614</v>
      </c>
      <c r="D294" s="6">
        <f t="shared" si="8"/>
        <v>122304.2</v>
      </c>
      <c r="E294" s="6">
        <f t="shared" si="9"/>
        <v>122639.9</v>
      </c>
    </row>
    <row r="295" spans="1:5">
      <c r="A295" s="3">
        <v>45473</v>
      </c>
      <c r="B295" s="9" t="s">
        <v>313</v>
      </c>
      <c r="C295" s="9" t="s">
        <v>615</v>
      </c>
      <c r="D295" s="6">
        <f t="shared" si="8"/>
        <v>125251.6</v>
      </c>
      <c r="E295" s="6">
        <f t="shared" si="9"/>
        <v>124961.60000000001</v>
      </c>
    </row>
    <row r="296" spans="1:5">
      <c r="A296" s="2">
        <v>45504</v>
      </c>
      <c r="B296" s="9" t="s">
        <v>314</v>
      </c>
      <c r="C296" s="9" t="s">
        <v>616</v>
      </c>
      <c r="D296" s="6">
        <f t="shared" si="8"/>
        <v>127485.2</v>
      </c>
      <c r="E296" s="6">
        <f t="shared" si="9"/>
        <v>124871.7</v>
      </c>
    </row>
    <row r="297" spans="1:5">
      <c r="A297" s="3">
        <v>45535</v>
      </c>
      <c r="B297" s="9" t="s">
        <v>315</v>
      </c>
      <c r="C297" s="9" t="s">
        <v>617</v>
      </c>
      <c r="D297" s="6">
        <f t="shared" si="8"/>
        <v>120898.8</v>
      </c>
      <c r="E297" s="6">
        <f t="shared" si="9"/>
        <v>115003.1</v>
      </c>
    </row>
    <row r="298" spans="1:5">
      <c r="A298" s="2">
        <v>45565</v>
      </c>
      <c r="B298" s="9" t="s">
        <v>316</v>
      </c>
      <c r="C298" s="9" t="s">
        <v>618</v>
      </c>
      <c r="D298" s="6">
        <f t="shared" si="8"/>
        <v>127785.5</v>
      </c>
      <c r="E298" s="6">
        <f t="shared" si="9"/>
        <v>128749.5</v>
      </c>
    </row>
    <row r="299" spans="1:5">
      <c r="A299" s="3">
        <v>45596</v>
      </c>
      <c r="B299" s="9" t="s">
        <v>317</v>
      </c>
      <c r="C299" s="9" t="s">
        <v>619</v>
      </c>
      <c r="D299" s="6">
        <f t="shared" si="8"/>
        <v>139651.1</v>
      </c>
      <c r="E299" s="6">
        <f t="shared" si="9"/>
        <v>140488.1</v>
      </c>
    </row>
    <row r="300" spans="1:5">
      <c r="A300" s="2">
        <v>45626</v>
      </c>
      <c r="B300" s="9" t="s">
        <v>318</v>
      </c>
      <c r="C300" s="9" t="s">
        <v>620</v>
      </c>
      <c r="D300" s="6">
        <f t="shared" si="8"/>
        <v>133610.29999999999</v>
      </c>
      <c r="E300" s="6">
        <f t="shared" si="9"/>
        <v>132432.29999999999</v>
      </c>
    </row>
    <row r="301" spans="1:5">
      <c r="A301" s="3">
        <v>45657</v>
      </c>
      <c r="B301" s="9" t="s">
        <v>319</v>
      </c>
      <c r="C301" s="9" t="s">
        <v>621</v>
      </c>
      <c r="D301" s="6">
        <f t="shared" si="8"/>
        <v>115791.2</v>
      </c>
      <c r="E301" s="6">
        <f t="shared" si="9"/>
        <v>109641</v>
      </c>
    </row>
    <row r="302" spans="1:5">
      <c r="A302" s="2">
        <v>45688</v>
      </c>
      <c r="B302" s="10" t="s">
        <v>320</v>
      </c>
      <c r="C302" s="10" t="s">
        <v>622</v>
      </c>
      <c r="D302" s="6">
        <f t="shared" si="8"/>
        <v>126726.2</v>
      </c>
      <c r="E302" s="6">
        <f t="shared" si="9"/>
        <v>124803.5</v>
      </c>
    </row>
    <row r="303" spans="1:5">
      <c r="A303" s="3">
        <v>45716</v>
      </c>
      <c r="B303" s="9" t="s">
        <v>321</v>
      </c>
      <c r="C303" s="9" t="s">
        <v>623</v>
      </c>
      <c r="D303" s="6">
        <f t="shared" si="8"/>
        <v>119018.1</v>
      </c>
      <c r="E303" s="6">
        <f t="shared" si="9"/>
        <v>115935.4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9063F-00E5-4F56-8871-94DE1BAEA30D}">
  <dimension ref="A1:B498"/>
  <sheetViews>
    <sheetView workbookViewId="0">
      <selection activeCell="B254" sqref="B254:B498"/>
    </sheetView>
  </sheetViews>
  <sheetFormatPr defaultRowHeight="15"/>
  <cols>
    <col min="1" max="1" width="10.140625" bestFit="1" customWidth="1"/>
    <col min="2" max="2" width="13.42578125" bestFit="1" customWidth="1"/>
  </cols>
  <sheetData>
    <row r="1" spans="1:2">
      <c r="A1" t="s">
        <v>0</v>
      </c>
      <c r="B1" t="s">
        <v>1</v>
      </c>
    </row>
    <row r="2" spans="1:2">
      <c r="A2" s="1">
        <v>30712</v>
      </c>
      <c r="B2" s="6">
        <v>9.9000000000000008E-3</v>
      </c>
    </row>
    <row r="3" spans="1:2">
      <c r="A3" s="1">
        <v>30741</v>
      </c>
      <c r="B3" s="6">
        <v>9.7999999999999997E-3</v>
      </c>
    </row>
    <row r="4" spans="1:2">
      <c r="A4" s="1">
        <v>30772</v>
      </c>
      <c r="B4" s="6">
        <v>1.09E-2</v>
      </c>
    </row>
    <row r="5" spans="1:2">
      <c r="A5" s="1">
        <v>30802</v>
      </c>
      <c r="B5" s="6">
        <v>1.0999999999999999E-2</v>
      </c>
    </row>
    <row r="6" spans="1:2">
      <c r="A6" s="1">
        <v>30833</v>
      </c>
      <c r="B6" s="6">
        <v>1.11E-2</v>
      </c>
    </row>
    <row r="7" spans="1:2">
      <c r="A7" s="1">
        <v>30863</v>
      </c>
      <c r="B7" s="6">
        <v>1.11E-2</v>
      </c>
    </row>
    <row r="8" spans="1:2">
      <c r="A8" s="1">
        <v>30894</v>
      </c>
      <c r="B8" s="6">
        <v>1.1299999999999999E-2</v>
      </c>
    </row>
    <row r="9" spans="1:2">
      <c r="A9" s="1">
        <v>30925</v>
      </c>
      <c r="B9" s="6">
        <v>1.1299999999999999E-2</v>
      </c>
    </row>
    <row r="10" spans="1:2">
      <c r="A10" s="1">
        <v>30955</v>
      </c>
      <c r="B10" s="6">
        <v>1.26E-2</v>
      </c>
    </row>
    <row r="11" spans="1:2">
      <c r="A11" s="1">
        <v>30986</v>
      </c>
      <c r="B11" s="6">
        <v>1.26E-2</v>
      </c>
    </row>
    <row r="12" spans="1:2">
      <c r="A12" s="1">
        <v>31016</v>
      </c>
      <c r="B12" s="6">
        <v>1.2500000000000001E-2</v>
      </c>
    </row>
    <row r="13" spans="1:2">
      <c r="A13" s="1">
        <v>31047</v>
      </c>
      <c r="B13" s="6">
        <v>1.26E-2</v>
      </c>
    </row>
    <row r="14" spans="1:2">
      <c r="A14" s="1">
        <v>31078</v>
      </c>
      <c r="B14" s="6">
        <v>1.3899999999999999E-2</v>
      </c>
    </row>
    <row r="15" spans="1:2">
      <c r="A15" s="1">
        <v>31106</v>
      </c>
      <c r="B15" s="6">
        <v>1.41E-2</v>
      </c>
    </row>
    <row r="16" spans="1:2">
      <c r="A16" s="1">
        <v>31137</v>
      </c>
      <c r="B16" s="6">
        <v>1.38E-2</v>
      </c>
    </row>
    <row r="17" spans="1:2">
      <c r="A17" s="1">
        <v>31167</v>
      </c>
      <c r="B17" s="6">
        <v>1.3599999999999999E-2</v>
      </c>
    </row>
    <row r="18" spans="1:2">
      <c r="A18" s="1">
        <v>31198</v>
      </c>
      <c r="B18" s="6">
        <v>1.3599999999999999E-2</v>
      </c>
    </row>
    <row r="19" spans="1:2">
      <c r="A19" s="1">
        <v>31228</v>
      </c>
      <c r="B19" s="6">
        <v>1.5800000000000002E-2</v>
      </c>
    </row>
    <row r="20" spans="1:2">
      <c r="A20" s="1">
        <v>31259</v>
      </c>
      <c r="B20" s="6">
        <v>1.54E-2</v>
      </c>
    </row>
    <row r="21" spans="1:2">
      <c r="A21" s="1">
        <v>31290</v>
      </c>
      <c r="B21" s="6">
        <v>1.5299999999999999E-2</v>
      </c>
    </row>
    <row r="22" spans="1:2">
      <c r="A22" s="1">
        <v>31320</v>
      </c>
      <c r="B22" s="6">
        <v>1.52E-2</v>
      </c>
    </row>
    <row r="23" spans="1:2">
      <c r="A23" s="1">
        <v>31351</v>
      </c>
      <c r="B23" s="6">
        <v>1.4999999999999999E-2</v>
      </c>
    </row>
    <row r="24" spans="1:2">
      <c r="A24" s="1">
        <v>31381</v>
      </c>
      <c r="B24" s="6">
        <v>1.4999999999999999E-2</v>
      </c>
    </row>
    <row r="25" spans="1:2">
      <c r="A25" s="1">
        <v>31412</v>
      </c>
      <c r="B25" s="6">
        <v>1.4800000000000001E-2</v>
      </c>
    </row>
    <row r="26" spans="1:2">
      <c r="A26" s="1">
        <v>31443</v>
      </c>
      <c r="B26" s="6">
        <v>1.47E-2</v>
      </c>
    </row>
    <row r="27" spans="1:2">
      <c r="A27" s="1">
        <v>31471</v>
      </c>
      <c r="B27" s="6">
        <v>1.6899999999999998E-2</v>
      </c>
    </row>
    <row r="28" spans="1:2">
      <c r="A28" s="1">
        <v>31502</v>
      </c>
      <c r="B28" s="6">
        <v>1.66E-2</v>
      </c>
    </row>
    <row r="29" spans="1:2">
      <c r="A29" s="1">
        <v>31532</v>
      </c>
      <c r="B29" s="6">
        <v>1.6400000000000001E-2</v>
      </c>
    </row>
    <row r="30" spans="1:2">
      <c r="A30" s="1">
        <v>31563</v>
      </c>
      <c r="B30" s="6">
        <v>1.6500000000000001E-2</v>
      </c>
    </row>
    <row r="31" spans="1:2">
      <c r="A31" s="1">
        <v>31593</v>
      </c>
      <c r="B31" s="6">
        <v>1.6500000000000001E-2</v>
      </c>
    </row>
    <row r="32" spans="1:2">
      <c r="A32" s="1">
        <v>31624</v>
      </c>
      <c r="B32" s="6">
        <v>1.6299999999999999E-2</v>
      </c>
    </row>
    <row r="33" spans="1:2">
      <c r="A33" s="1">
        <v>31655</v>
      </c>
      <c r="B33" s="6">
        <v>1.61E-2</v>
      </c>
    </row>
    <row r="34" spans="1:2">
      <c r="A34" s="1">
        <v>31685</v>
      </c>
      <c r="B34" s="6">
        <v>0.02</v>
      </c>
    </row>
    <row r="35" spans="1:2">
      <c r="A35" s="1">
        <v>31716</v>
      </c>
      <c r="B35" s="6">
        <v>1.9800000000000002E-2</v>
      </c>
    </row>
    <row r="36" spans="1:2">
      <c r="A36" s="1">
        <v>31746</v>
      </c>
      <c r="B36" s="6">
        <v>0.02</v>
      </c>
    </row>
    <row r="37" spans="1:2">
      <c r="A37" s="1">
        <v>31777</v>
      </c>
      <c r="B37" s="6">
        <v>1.9800000000000002E-2</v>
      </c>
    </row>
    <row r="38" spans="1:2">
      <c r="A38" s="1">
        <v>31808</v>
      </c>
      <c r="B38" s="6">
        <v>1.9300000000000001E-2</v>
      </c>
    </row>
    <row r="39" spans="1:2">
      <c r="A39" s="1">
        <v>31836</v>
      </c>
      <c r="B39" s="6">
        <v>2.4E-2</v>
      </c>
    </row>
    <row r="40" spans="1:2">
      <c r="A40" s="1">
        <v>31867</v>
      </c>
      <c r="B40" s="6">
        <v>2.3900000000000001E-2</v>
      </c>
    </row>
    <row r="41" spans="1:2">
      <c r="A41" s="1">
        <v>31897</v>
      </c>
      <c r="B41" s="6">
        <v>2.4899999999999999E-2</v>
      </c>
    </row>
    <row r="42" spans="1:2">
      <c r="A42" s="1">
        <v>31928</v>
      </c>
      <c r="B42" s="6">
        <v>2.5399999999999999E-2</v>
      </c>
    </row>
    <row r="43" spans="1:2">
      <c r="A43" s="1">
        <v>31958</v>
      </c>
      <c r="B43" s="6">
        <v>2.63E-2</v>
      </c>
    </row>
    <row r="44" spans="1:2">
      <c r="A44" s="1">
        <v>31989</v>
      </c>
      <c r="B44" s="6">
        <v>2.69E-2</v>
      </c>
    </row>
    <row r="45" spans="1:2">
      <c r="A45" s="1">
        <v>32020</v>
      </c>
      <c r="B45" s="6">
        <v>2.8199999999999999E-2</v>
      </c>
    </row>
    <row r="46" spans="1:2">
      <c r="A46" s="1">
        <v>32050</v>
      </c>
      <c r="B46" s="6">
        <v>2.9600000000000001E-2</v>
      </c>
    </row>
    <row r="47" spans="1:2">
      <c r="A47" s="1">
        <v>32081</v>
      </c>
      <c r="B47" s="6">
        <v>0.03</v>
      </c>
    </row>
    <row r="48" spans="1:2">
      <c r="A48" s="1">
        <v>32111</v>
      </c>
      <c r="B48" s="6">
        <v>3.2000000000000001E-2</v>
      </c>
    </row>
    <row r="49" spans="1:2">
      <c r="A49" s="1">
        <v>32142</v>
      </c>
      <c r="B49" s="6">
        <v>3.1600000000000003E-2</v>
      </c>
    </row>
    <row r="50" spans="1:2">
      <c r="A50" s="1">
        <v>32173</v>
      </c>
      <c r="B50" s="6">
        <v>3.2000000000000001E-2</v>
      </c>
    </row>
    <row r="51" spans="1:2">
      <c r="A51" s="1">
        <v>32202</v>
      </c>
      <c r="B51" s="6">
        <v>3.8199999999999998E-2</v>
      </c>
    </row>
    <row r="52" spans="1:2">
      <c r="A52" s="1">
        <v>32233</v>
      </c>
      <c r="B52" s="6">
        <v>0.04</v>
      </c>
    </row>
    <row r="53" spans="1:2">
      <c r="A53" s="1">
        <v>32263</v>
      </c>
      <c r="B53" s="6">
        <v>3.9699999999999999E-2</v>
      </c>
    </row>
    <row r="54" spans="1:2">
      <c r="A54" s="1">
        <v>32294</v>
      </c>
      <c r="B54" s="6">
        <v>4.2000000000000003E-2</v>
      </c>
    </row>
    <row r="55" spans="1:2">
      <c r="A55" s="1">
        <v>32324</v>
      </c>
      <c r="B55" s="6">
        <v>4.3999999999999997E-2</v>
      </c>
    </row>
    <row r="56" spans="1:2">
      <c r="A56" s="1">
        <v>32355</v>
      </c>
      <c r="B56" s="6">
        <v>4.5600000000000002E-2</v>
      </c>
    </row>
    <row r="57" spans="1:2">
      <c r="A57" s="1">
        <v>32386</v>
      </c>
      <c r="B57" s="6">
        <v>4.6199999999999998E-2</v>
      </c>
    </row>
    <row r="58" spans="1:2">
      <c r="A58" s="1">
        <v>32416</v>
      </c>
      <c r="B58" s="6">
        <v>4.8000000000000001E-2</v>
      </c>
    </row>
    <row r="59" spans="1:2">
      <c r="A59" s="1">
        <v>32447</v>
      </c>
      <c r="B59" s="6">
        <v>4.8800000000000003E-2</v>
      </c>
    </row>
    <row r="60" spans="1:2">
      <c r="A60" s="1">
        <v>32477</v>
      </c>
      <c r="B60" s="6">
        <v>4.9799999999999997E-2</v>
      </c>
    </row>
    <row r="61" spans="1:2">
      <c r="A61" s="1">
        <v>32508</v>
      </c>
      <c r="B61" s="6">
        <v>5.0299999999999997E-2</v>
      </c>
    </row>
    <row r="62" spans="1:2">
      <c r="A62" s="1">
        <v>32539</v>
      </c>
      <c r="B62" s="6">
        <v>5.0799999999999998E-2</v>
      </c>
    </row>
    <row r="63" spans="1:2">
      <c r="A63" s="1">
        <v>32567</v>
      </c>
      <c r="B63" s="6">
        <v>5.6000000000000001E-2</v>
      </c>
    </row>
    <row r="64" spans="1:2">
      <c r="A64" s="1">
        <v>32598</v>
      </c>
      <c r="B64" s="6">
        <v>5.7299999999999997E-2</v>
      </c>
    </row>
    <row r="65" spans="1:2">
      <c r="A65" s="1">
        <v>32628</v>
      </c>
      <c r="B65" s="6">
        <v>6.8000000000000005E-2</v>
      </c>
    </row>
    <row r="66" spans="1:2">
      <c r="A66" s="1">
        <v>32659</v>
      </c>
      <c r="B66" s="6">
        <v>8.5000000000000006E-2</v>
      </c>
    </row>
    <row r="67" spans="1:2">
      <c r="A67" s="1">
        <v>32689</v>
      </c>
      <c r="B67" s="6">
        <v>8.4500000000000006E-2</v>
      </c>
    </row>
    <row r="68" spans="1:2">
      <c r="A68" s="1">
        <v>32720</v>
      </c>
      <c r="B68" s="6">
        <v>8.3000000000000004E-2</v>
      </c>
    </row>
    <row r="69" spans="1:2">
      <c r="A69" s="1">
        <v>32751</v>
      </c>
      <c r="B69" s="6">
        <v>0.10539999999999999</v>
      </c>
    </row>
    <row r="70" spans="1:2">
      <c r="A70" s="1">
        <v>32781</v>
      </c>
      <c r="B70" s="6">
        <v>0.18</v>
      </c>
    </row>
    <row r="71" spans="1:2">
      <c r="A71" s="1">
        <v>32812</v>
      </c>
      <c r="B71" s="6">
        <v>0.24</v>
      </c>
    </row>
    <row r="72" spans="1:2">
      <c r="A72" s="1">
        <v>32842</v>
      </c>
      <c r="B72" s="6">
        <v>0.38</v>
      </c>
    </row>
    <row r="73" spans="1:2">
      <c r="A73" s="1">
        <v>32873</v>
      </c>
      <c r="B73" s="6">
        <v>0.65</v>
      </c>
    </row>
    <row r="74" spans="1:2">
      <c r="A74" s="1">
        <v>32904</v>
      </c>
      <c r="B74" s="6">
        <v>0.95</v>
      </c>
    </row>
    <row r="75" spans="1:2">
      <c r="A75" s="1">
        <v>32932</v>
      </c>
      <c r="B75" s="6">
        <v>0.95</v>
      </c>
    </row>
    <row r="76" spans="1:2">
      <c r="A76" s="1">
        <v>32963</v>
      </c>
      <c r="B76" s="6">
        <v>0.95</v>
      </c>
    </row>
    <row r="77" spans="1:2">
      <c r="A77" s="1">
        <v>32993</v>
      </c>
      <c r="B77" s="6">
        <v>0.95</v>
      </c>
    </row>
    <row r="78" spans="1:2">
      <c r="A78" s="1">
        <v>33024</v>
      </c>
      <c r="B78" s="6">
        <v>0.95</v>
      </c>
    </row>
    <row r="79" spans="1:2">
      <c r="A79" s="1">
        <v>33054</v>
      </c>
      <c r="B79" s="6">
        <v>0.95</v>
      </c>
    </row>
    <row r="80" spans="1:2">
      <c r="A80" s="1">
        <v>33085</v>
      </c>
      <c r="B80" s="6">
        <v>0.95</v>
      </c>
    </row>
    <row r="81" spans="1:2">
      <c r="A81" s="1">
        <v>33116</v>
      </c>
      <c r="B81" s="6">
        <v>0.95</v>
      </c>
    </row>
    <row r="82" spans="1:2">
      <c r="A82" s="1">
        <v>33146</v>
      </c>
      <c r="B82" s="6">
        <v>0.95</v>
      </c>
    </row>
    <row r="83" spans="1:2">
      <c r="A83" s="1">
        <v>33177</v>
      </c>
      <c r="B83" s="6">
        <v>0.95</v>
      </c>
    </row>
    <row r="84" spans="1:2">
      <c r="A84" s="1">
        <v>33207</v>
      </c>
      <c r="B84" s="6">
        <v>0.95</v>
      </c>
    </row>
    <row r="85" spans="1:2">
      <c r="A85" s="1">
        <v>33238</v>
      </c>
      <c r="B85" s="6">
        <v>0.95</v>
      </c>
    </row>
    <row r="86" spans="1:2">
      <c r="A86" s="1">
        <v>33269</v>
      </c>
      <c r="B86" s="6">
        <v>0.95</v>
      </c>
    </row>
    <row r="87" spans="1:2">
      <c r="A87" s="1">
        <v>33297</v>
      </c>
      <c r="B87" s="6">
        <v>0.95</v>
      </c>
    </row>
    <row r="88" spans="1:2">
      <c r="A88" s="1">
        <v>33328</v>
      </c>
      <c r="B88" s="6">
        <v>0.95</v>
      </c>
    </row>
    <row r="89" spans="1:2">
      <c r="A89" s="1">
        <v>33358</v>
      </c>
      <c r="B89" s="6">
        <v>0.95</v>
      </c>
    </row>
    <row r="90" spans="1:2">
      <c r="A90" s="1">
        <v>33389</v>
      </c>
      <c r="B90" s="6">
        <v>1.1105</v>
      </c>
    </row>
    <row r="91" spans="1:2">
      <c r="A91" s="1">
        <v>33419</v>
      </c>
      <c r="B91" s="6">
        <v>1.1457999999999999</v>
      </c>
    </row>
    <row r="92" spans="1:2">
      <c r="A92" s="1">
        <v>33450</v>
      </c>
      <c r="B92" s="6">
        <v>1.1301000000000001</v>
      </c>
    </row>
    <row r="93" spans="1:2">
      <c r="A93" s="1">
        <v>33481</v>
      </c>
      <c r="B93" s="6">
        <v>1.127</v>
      </c>
    </row>
    <row r="94" spans="1:2">
      <c r="A94" s="1">
        <v>33511</v>
      </c>
      <c r="B94" s="6">
        <v>1.1095999999999999</v>
      </c>
    </row>
    <row r="95" spans="1:2">
      <c r="A95" s="1">
        <v>33542</v>
      </c>
      <c r="B95" s="6">
        <v>1.1203000000000001</v>
      </c>
    </row>
    <row r="96" spans="1:2">
      <c r="A96" s="1">
        <v>33572</v>
      </c>
      <c r="B96" s="6">
        <v>1.1153999999999999</v>
      </c>
    </row>
    <row r="97" spans="1:2">
      <c r="A97" s="1">
        <v>33603</v>
      </c>
      <c r="B97" s="6">
        <v>1.0956999999999999</v>
      </c>
    </row>
    <row r="98" spans="1:2">
      <c r="A98" s="1">
        <v>33634</v>
      </c>
      <c r="B98" s="6">
        <v>1.1483000000000001</v>
      </c>
    </row>
    <row r="99" spans="1:2">
      <c r="A99" s="1">
        <v>33663</v>
      </c>
      <c r="B99" s="6">
        <v>1.32</v>
      </c>
    </row>
    <row r="100" spans="1:2">
      <c r="A100" s="1">
        <v>33694</v>
      </c>
      <c r="B100" s="6">
        <v>1.3496999999999999</v>
      </c>
    </row>
    <row r="101" spans="1:2">
      <c r="A101" s="1">
        <v>33724</v>
      </c>
      <c r="B101" s="6">
        <v>1.3729</v>
      </c>
    </row>
    <row r="102" spans="1:2">
      <c r="A102" s="1">
        <v>33755</v>
      </c>
      <c r="B102" s="6">
        <v>1.3827</v>
      </c>
    </row>
    <row r="103" spans="1:2">
      <c r="A103" s="1">
        <v>33785</v>
      </c>
      <c r="B103" s="6">
        <v>1.3512</v>
      </c>
    </row>
    <row r="104" spans="1:2">
      <c r="A104" s="1">
        <v>33816</v>
      </c>
      <c r="B104" s="6">
        <v>1.3617999999999999</v>
      </c>
    </row>
    <row r="105" spans="1:2">
      <c r="A105" s="1">
        <v>33847</v>
      </c>
      <c r="B105" s="6">
        <v>1.3449</v>
      </c>
    </row>
    <row r="106" spans="1:2">
      <c r="A106" s="1">
        <v>33877</v>
      </c>
      <c r="B106" s="6">
        <v>1.3909</v>
      </c>
    </row>
    <row r="107" spans="1:2">
      <c r="A107" s="1">
        <v>33908</v>
      </c>
      <c r="B107" s="6">
        <v>1.4866999999999999</v>
      </c>
    </row>
    <row r="108" spans="1:2">
      <c r="A108" s="1">
        <v>33938</v>
      </c>
      <c r="B108" s="6">
        <v>1.5454000000000001</v>
      </c>
    </row>
    <row r="109" spans="1:2">
      <c r="A109" s="1">
        <v>33969</v>
      </c>
      <c r="B109" s="6">
        <v>1.5767</v>
      </c>
    </row>
    <row r="110" spans="1:2">
      <c r="A110" s="1">
        <v>34000</v>
      </c>
      <c r="B110" s="6">
        <v>1.5832999999999999</v>
      </c>
    </row>
    <row r="111" spans="1:2">
      <c r="A111" s="1">
        <v>34028</v>
      </c>
      <c r="B111" s="6">
        <v>1.6404000000000001</v>
      </c>
    </row>
    <row r="112" spans="1:2">
      <c r="A112" s="1">
        <v>34059</v>
      </c>
      <c r="B112" s="6">
        <v>1.6625000000000001</v>
      </c>
    </row>
    <row r="113" spans="1:2">
      <c r="A113" s="1">
        <v>34089</v>
      </c>
      <c r="B113" s="6">
        <v>1.6539999999999999</v>
      </c>
    </row>
    <row r="114" spans="1:2">
      <c r="A114" s="1">
        <v>34120</v>
      </c>
      <c r="B114" s="6">
        <v>1.6886000000000001</v>
      </c>
    </row>
    <row r="115" spans="1:2">
      <c r="A115" s="1">
        <v>34150</v>
      </c>
      <c r="B115" s="6">
        <v>1.7778</v>
      </c>
    </row>
    <row r="116" spans="1:2">
      <c r="A116" s="1">
        <v>34181</v>
      </c>
      <c r="B116" s="6">
        <v>1.8208</v>
      </c>
    </row>
    <row r="117" spans="1:2">
      <c r="A117" s="1">
        <v>34212</v>
      </c>
      <c r="B117" s="6">
        <v>1.9759</v>
      </c>
    </row>
    <row r="118" spans="1:2">
      <c r="A118" s="1">
        <v>34242</v>
      </c>
      <c r="B118" s="6">
        <v>1.9736</v>
      </c>
    </row>
    <row r="119" spans="1:2">
      <c r="A119" s="1">
        <v>34273</v>
      </c>
      <c r="B119" s="6">
        <v>2.0495999999999999</v>
      </c>
    </row>
    <row r="120" spans="1:2">
      <c r="A120" s="1">
        <v>34303</v>
      </c>
      <c r="B120" s="6">
        <v>2.0981999999999998</v>
      </c>
    </row>
    <row r="121" spans="1:2">
      <c r="A121" s="1">
        <v>34334</v>
      </c>
      <c r="B121" s="6">
        <v>2.1345000000000001</v>
      </c>
    </row>
    <row r="122" spans="1:2">
      <c r="A122" s="1">
        <v>34365</v>
      </c>
      <c r="B122" s="6">
        <v>2.1692</v>
      </c>
    </row>
    <row r="123" spans="1:2">
      <c r="A123" s="1">
        <v>34393</v>
      </c>
      <c r="B123" s="6">
        <v>2.1953999999999998</v>
      </c>
    </row>
    <row r="124" spans="1:2">
      <c r="A124" s="1">
        <v>34424</v>
      </c>
      <c r="B124" s="6">
        <v>2.2119</v>
      </c>
    </row>
    <row r="125" spans="1:2">
      <c r="A125" s="1">
        <v>34454</v>
      </c>
      <c r="B125" s="6">
        <v>2.2416</v>
      </c>
    </row>
    <row r="126" spans="1:2">
      <c r="A126" s="1">
        <v>34485</v>
      </c>
      <c r="B126" s="6">
        <v>2.2553000000000001</v>
      </c>
    </row>
    <row r="127" spans="1:2">
      <c r="A127" s="1">
        <v>34515</v>
      </c>
      <c r="B127" s="6">
        <v>2.2452000000000001</v>
      </c>
    </row>
    <row r="128" spans="1:2">
      <c r="A128" s="1">
        <v>34546</v>
      </c>
      <c r="B128" s="6">
        <v>2.2743000000000002</v>
      </c>
    </row>
    <row r="129" spans="1:2">
      <c r="A129" s="1">
        <v>34577</v>
      </c>
      <c r="B129" s="6">
        <v>2.3174999999999999</v>
      </c>
    </row>
    <row r="130" spans="1:2">
      <c r="A130" s="1">
        <v>34607</v>
      </c>
      <c r="B130" s="6">
        <v>2.3218000000000001</v>
      </c>
    </row>
    <row r="131" spans="1:2">
      <c r="A131" s="1">
        <v>34638</v>
      </c>
      <c r="B131" s="6">
        <v>2.3083999999999998</v>
      </c>
    </row>
    <row r="132" spans="1:2">
      <c r="A132" s="1">
        <v>34668</v>
      </c>
      <c r="B132" s="6">
        <v>2.4049999999999998</v>
      </c>
    </row>
    <row r="133" spans="1:2">
      <c r="A133" s="1">
        <v>34699</v>
      </c>
      <c r="B133" s="6">
        <v>2.4371999999999998</v>
      </c>
    </row>
    <row r="134" spans="1:2">
      <c r="A134" s="1">
        <v>34730</v>
      </c>
      <c r="B134" s="6">
        <v>2.4249999999999998</v>
      </c>
    </row>
    <row r="135" spans="1:2">
      <c r="A135" s="1">
        <v>34758</v>
      </c>
      <c r="B135" s="6">
        <v>2.4127999999999998</v>
      </c>
    </row>
    <row r="136" spans="1:2">
      <c r="A136" s="1">
        <v>34789</v>
      </c>
      <c r="B136" s="6">
        <v>2.3540000000000001</v>
      </c>
    </row>
    <row r="137" spans="1:2">
      <c r="A137" s="1">
        <v>34819</v>
      </c>
      <c r="B137" s="6">
        <v>2.3668</v>
      </c>
    </row>
    <row r="138" spans="1:2">
      <c r="A138" s="1">
        <v>34850</v>
      </c>
      <c r="B138" s="6">
        <v>2.335</v>
      </c>
    </row>
    <row r="139" spans="1:2">
      <c r="A139" s="1">
        <v>34880</v>
      </c>
      <c r="B139" s="6">
        <v>2.3405</v>
      </c>
    </row>
    <row r="140" spans="1:2">
      <c r="A140" s="1">
        <v>34911</v>
      </c>
      <c r="B140" s="6">
        <v>2.3679999999999999</v>
      </c>
    </row>
    <row r="141" spans="1:2">
      <c r="A141" s="1">
        <v>34942</v>
      </c>
      <c r="B141" s="6">
        <v>2.4700000000000002</v>
      </c>
    </row>
    <row r="142" spans="1:2">
      <c r="A142" s="1">
        <v>34972</v>
      </c>
      <c r="B142" s="6">
        <v>2.431</v>
      </c>
    </row>
    <row r="143" spans="1:2">
      <c r="A143" s="1">
        <v>35003</v>
      </c>
      <c r="B143" s="6">
        <v>2.452</v>
      </c>
    </row>
    <row r="144" spans="1:2">
      <c r="A144" s="1">
        <v>35033</v>
      </c>
      <c r="B144" s="6">
        <v>2.52</v>
      </c>
    </row>
    <row r="145" spans="1:2">
      <c r="A145" s="1">
        <v>35064</v>
      </c>
      <c r="B145" s="6">
        <v>2.464</v>
      </c>
    </row>
    <row r="146" spans="1:2">
      <c r="A146" s="1">
        <v>35095</v>
      </c>
      <c r="B146" s="6">
        <v>2.5489999999999999</v>
      </c>
    </row>
    <row r="147" spans="1:2">
      <c r="A147" s="1">
        <v>35124</v>
      </c>
      <c r="B147" s="6">
        <v>2.5579999999999998</v>
      </c>
    </row>
    <row r="148" spans="1:2">
      <c r="A148" s="1">
        <v>35155</v>
      </c>
      <c r="B148" s="6">
        <v>2.5849000000000002</v>
      </c>
    </row>
    <row r="149" spans="1:2">
      <c r="A149" s="1">
        <v>35185</v>
      </c>
      <c r="B149" s="6">
        <v>2.6585000000000001</v>
      </c>
    </row>
    <row r="150" spans="1:2">
      <c r="A150" s="1">
        <v>35216</v>
      </c>
      <c r="B150" s="6">
        <v>2.6775000000000002</v>
      </c>
    </row>
    <row r="151" spans="1:2">
      <c r="A151" s="1">
        <v>35246</v>
      </c>
      <c r="B151" s="6">
        <v>2.718</v>
      </c>
    </row>
    <row r="152" spans="1:2">
      <c r="A152" s="1">
        <v>35277</v>
      </c>
      <c r="B152" s="6">
        <v>2.7046000000000001</v>
      </c>
    </row>
    <row r="153" spans="1:2">
      <c r="A153" s="1">
        <v>35308</v>
      </c>
      <c r="B153" s="6">
        <v>2.7376</v>
      </c>
    </row>
    <row r="154" spans="1:2">
      <c r="A154" s="1">
        <v>35338</v>
      </c>
      <c r="B154" s="6">
        <v>2.8050000000000002</v>
      </c>
    </row>
    <row r="155" spans="1:2">
      <c r="A155" s="1">
        <v>35369</v>
      </c>
      <c r="B155" s="6">
        <v>2.8136999999999999</v>
      </c>
    </row>
    <row r="156" spans="1:2">
      <c r="A156" s="1">
        <v>35399</v>
      </c>
      <c r="B156" s="6">
        <v>2.851</v>
      </c>
    </row>
    <row r="157" spans="1:2">
      <c r="A157" s="1">
        <v>35430</v>
      </c>
      <c r="B157" s="6">
        <v>2.8668999999999998</v>
      </c>
    </row>
    <row r="158" spans="1:2">
      <c r="A158" s="1">
        <v>35461</v>
      </c>
      <c r="B158" s="6">
        <v>3</v>
      </c>
    </row>
    <row r="159" spans="1:2">
      <c r="A159" s="1">
        <v>35489</v>
      </c>
      <c r="B159" s="6">
        <v>3.0579999999999998</v>
      </c>
    </row>
    <row r="160" spans="1:2">
      <c r="A160" s="1">
        <v>35520</v>
      </c>
      <c r="B160" s="6">
        <v>3.0739999999999998</v>
      </c>
    </row>
    <row r="161" spans="1:2">
      <c r="A161" s="1">
        <v>35550</v>
      </c>
      <c r="B161" s="6">
        <v>3.1619999999999999</v>
      </c>
    </row>
    <row r="162" spans="1:2">
      <c r="A162" s="1">
        <v>35581</v>
      </c>
      <c r="B162" s="6">
        <v>3.2025000000000001</v>
      </c>
    </row>
    <row r="163" spans="1:2">
      <c r="A163" s="1">
        <v>35611</v>
      </c>
      <c r="B163" s="6">
        <v>3.2850000000000001</v>
      </c>
    </row>
    <row r="164" spans="1:2">
      <c r="A164" s="1">
        <v>35642</v>
      </c>
      <c r="B164" s="6">
        <v>3.4630000000000001</v>
      </c>
    </row>
    <row r="165" spans="1:2">
      <c r="A165" s="1">
        <v>35673</v>
      </c>
      <c r="B165" s="6">
        <v>3.4740000000000002</v>
      </c>
    </row>
    <row r="166" spans="1:2">
      <c r="A166" s="1">
        <v>35703</v>
      </c>
      <c r="B166" s="6">
        <v>3.415</v>
      </c>
    </row>
    <row r="167" spans="1:2">
      <c r="A167" s="1">
        <v>35734</v>
      </c>
      <c r="B167" s="6">
        <v>3.48</v>
      </c>
    </row>
    <row r="168" spans="1:2">
      <c r="A168" s="1">
        <v>35764</v>
      </c>
      <c r="B168" s="6">
        <v>3.528</v>
      </c>
    </row>
    <row r="169" spans="1:2">
      <c r="A169" s="1">
        <v>35795</v>
      </c>
      <c r="B169" s="6">
        <v>3.52</v>
      </c>
    </row>
    <row r="170" spans="1:2">
      <c r="A170" s="1">
        <v>35826</v>
      </c>
      <c r="B170" s="6">
        <v>3.544</v>
      </c>
    </row>
    <row r="171" spans="1:2">
      <c r="A171" s="1">
        <v>35854</v>
      </c>
      <c r="B171" s="6">
        <v>3.4780000000000002</v>
      </c>
    </row>
    <row r="172" spans="1:2">
      <c r="A172" s="1">
        <v>35885</v>
      </c>
      <c r="B172" s="6">
        <v>3.4489999999999998</v>
      </c>
    </row>
    <row r="173" spans="1:2">
      <c r="A173" s="1">
        <v>35915</v>
      </c>
      <c r="B173" s="6">
        <v>3.3940000000000001</v>
      </c>
    </row>
    <row r="174" spans="1:2">
      <c r="A174" s="1">
        <v>35946</v>
      </c>
      <c r="B174" s="6">
        <v>3.4860000000000002</v>
      </c>
    </row>
    <row r="175" spans="1:2">
      <c r="A175" s="1">
        <v>35976</v>
      </c>
      <c r="B175" s="6">
        <v>3.4845000000000002</v>
      </c>
    </row>
    <row r="176" spans="1:2">
      <c r="A176" s="1">
        <v>36007</v>
      </c>
      <c r="B176" s="6">
        <v>3.4319999999999999</v>
      </c>
    </row>
    <row r="177" spans="1:2">
      <c r="A177" s="1">
        <v>36038</v>
      </c>
      <c r="B177" s="6">
        <v>3.69</v>
      </c>
    </row>
    <row r="178" spans="1:2">
      <c r="A178" s="1">
        <v>36068</v>
      </c>
      <c r="B178" s="6">
        <v>3.57</v>
      </c>
    </row>
    <row r="179" spans="1:2">
      <c r="A179" s="1">
        <v>36099</v>
      </c>
      <c r="B179" s="6">
        <v>3.4220000000000002</v>
      </c>
    </row>
    <row r="180" spans="1:2">
      <c r="A180" s="1">
        <v>36129</v>
      </c>
      <c r="B180" s="6">
        <v>3.4820000000000002</v>
      </c>
    </row>
    <row r="181" spans="1:2">
      <c r="A181" s="1">
        <v>36160</v>
      </c>
      <c r="B181" s="6">
        <v>3.5049999999999999</v>
      </c>
    </row>
    <row r="182" spans="1:2">
      <c r="A182" s="1">
        <v>36191</v>
      </c>
      <c r="B182" s="6">
        <v>3.665</v>
      </c>
    </row>
    <row r="183" spans="1:2">
      <c r="A183" s="1">
        <v>36219</v>
      </c>
      <c r="B183" s="6">
        <v>3.94</v>
      </c>
    </row>
    <row r="184" spans="1:2">
      <c r="A184" s="1">
        <v>36250</v>
      </c>
      <c r="B184" s="6">
        <v>3.99</v>
      </c>
    </row>
    <row r="185" spans="1:2">
      <c r="A185" s="1">
        <v>36280</v>
      </c>
      <c r="B185" s="6">
        <v>3.9510000000000001</v>
      </c>
    </row>
    <row r="186" spans="1:2">
      <c r="A186" s="1">
        <v>36311</v>
      </c>
      <c r="B186" s="6">
        <v>3.9649999999999999</v>
      </c>
    </row>
    <row r="187" spans="1:2">
      <c r="A187" s="1">
        <v>36341</v>
      </c>
      <c r="B187" s="6">
        <v>3.91</v>
      </c>
    </row>
    <row r="188" spans="1:2">
      <c r="A188" s="1">
        <v>36372</v>
      </c>
      <c r="B188" s="6">
        <v>3.8519999999999999</v>
      </c>
    </row>
    <row r="189" spans="1:2">
      <c r="A189" s="1">
        <v>36403</v>
      </c>
      <c r="B189" s="6">
        <v>3.97</v>
      </c>
    </row>
    <row r="190" spans="1:2">
      <c r="A190" s="1">
        <v>36433</v>
      </c>
      <c r="B190" s="6">
        <v>4.0972</v>
      </c>
    </row>
    <row r="191" spans="1:2">
      <c r="A191" s="1">
        <v>36464</v>
      </c>
      <c r="B191" s="6">
        <v>4.2169999999999996</v>
      </c>
    </row>
    <row r="192" spans="1:2">
      <c r="A192" s="1">
        <v>36494</v>
      </c>
      <c r="B192" s="6">
        <v>4.2300000000000004</v>
      </c>
    </row>
    <row r="193" spans="1:2">
      <c r="A193" s="1">
        <v>36525</v>
      </c>
      <c r="B193" s="6">
        <v>4.13</v>
      </c>
    </row>
    <row r="194" spans="1:2">
      <c r="A194" s="1">
        <v>36556</v>
      </c>
      <c r="B194" s="6">
        <v>4.2060000000000004</v>
      </c>
    </row>
    <row r="195" spans="1:2">
      <c r="A195" s="1">
        <v>36585</v>
      </c>
      <c r="B195" s="6">
        <v>4.16</v>
      </c>
    </row>
    <row r="196" spans="1:2">
      <c r="A196" s="1">
        <v>36616</v>
      </c>
      <c r="B196" s="6">
        <v>4.1269999999999998</v>
      </c>
    </row>
    <row r="197" spans="1:2">
      <c r="A197" s="1">
        <v>36646</v>
      </c>
      <c r="B197" s="6">
        <v>4.4649999999999999</v>
      </c>
    </row>
    <row r="198" spans="1:2">
      <c r="A198" s="1">
        <v>36677</v>
      </c>
      <c r="B198" s="6">
        <v>4.3899999999999997</v>
      </c>
    </row>
    <row r="199" spans="1:2">
      <c r="A199" s="1">
        <v>36707</v>
      </c>
      <c r="B199" s="6">
        <v>4.3499999999999996</v>
      </c>
    </row>
    <row r="200" spans="1:2">
      <c r="A200" s="1">
        <v>36738</v>
      </c>
      <c r="B200" s="6">
        <v>4.3354999999999997</v>
      </c>
    </row>
    <row r="201" spans="1:2">
      <c r="A201" s="1">
        <v>36769</v>
      </c>
      <c r="B201" s="6">
        <v>4.3689999999999998</v>
      </c>
    </row>
    <row r="202" spans="1:2">
      <c r="A202" s="1">
        <v>36799</v>
      </c>
      <c r="B202" s="6">
        <v>4.5250000000000004</v>
      </c>
    </row>
    <row r="203" spans="1:2">
      <c r="A203" s="1">
        <v>36830</v>
      </c>
      <c r="B203" s="6">
        <v>4.6440000000000001</v>
      </c>
    </row>
    <row r="204" spans="1:2">
      <c r="A204" s="1">
        <v>36860</v>
      </c>
      <c r="B204" s="6">
        <v>4.4835000000000003</v>
      </c>
    </row>
    <row r="205" spans="1:2">
      <c r="A205" s="1">
        <v>36891</v>
      </c>
      <c r="B205" s="6">
        <v>4.1280000000000001</v>
      </c>
    </row>
    <row r="206" spans="1:2">
      <c r="A206" s="1">
        <v>36922</v>
      </c>
      <c r="B206" s="6">
        <v>4.08</v>
      </c>
    </row>
    <row r="207" spans="1:2">
      <c r="A207" s="1">
        <v>36950</v>
      </c>
      <c r="B207" s="6">
        <v>4.0374999999999996</v>
      </c>
    </row>
    <row r="208" spans="1:2">
      <c r="A208" s="1">
        <v>36981</v>
      </c>
      <c r="B208" s="6">
        <v>4.0903</v>
      </c>
    </row>
    <row r="209" spans="1:2">
      <c r="A209" s="1">
        <v>37011</v>
      </c>
      <c r="B209" s="6">
        <v>3.9618000000000002</v>
      </c>
    </row>
    <row r="210" spans="1:2">
      <c r="A210" s="1">
        <v>37042</v>
      </c>
      <c r="B210" s="6">
        <v>3.9824000000000002</v>
      </c>
    </row>
    <row r="211" spans="1:2">
      <c r="A211" s="1">
        <v>37072</v>
      </c>
      <c r="B211" s="6">
        <v>4.0068999999999999</v>
      </c>
    </row>
    <row r="212" spans="1:2">
      <c r="A212" s="1">
        <v>37103</v>
      </c>
      <c r="B212" s="6">
        <v>4.2557999999999998</v>
      </c>
    </row>
    <row r="213" spans="1:2">
      <c r="A213" s="1">
        <v>37134</v>
      </c>
      <c r="B213" s="6">
        <v>4.2389999999999999</v>
      </c>
    </row>
    <row r="214" spans="1:2">
      <c r="A214" s="1">
        <v>37164</v>
      </c>
      <c r="B214" s="6">
        <v>4.2282999999999999</v>
      </c>
    </row>
    <row r="215" spans="1:2">
      <c r="A215" s="1">
        <v>37195</v>
      </c>
      <c r="B215" s="6">
        <v>4.0907999999999998</v>
      </c>
    </row>
    <row r="216" spans="1:2">
      <c r="A216" s="1">
        <v>37225</v>
      </c>
      <c r="B216" s="6">
        <v>4.0659000000000001</v>
      </c>
    </row>
    <row r="217" spans="1:2">
      <c r="A217" s="1">
        <v>37256</v>
      </c>
      <c r="B217" s="6">
        <v>3.9622999999999999</v>
      </c>
    </row>
    <row r="218" spans="1:2">
      <c r="A218" s="1">
        <v>37287</v>
      </c>
      <c r="B218" s="6">
        <v>4.1731999999999996</v>
      </c>
    </row>
    <row r="219" spans="1:2">
      <c r="A219" s="1">
        <v>37315</v>
      </c>
      <c r="B219" s="6">
        <v>4.2247000000000003</v>
      </c>
    </row>
    <row r="220" spans="1:2">
      <c r="A220" s="1">
        <v>37346</v>
      </c>
      <c r="B220" s="6">
        <v>4.1182999999999996</v>
      </c>
    </row>
    <row r="221" spans="1:2">
      <c r="A221" s="1">
        <v>37376</v>
      </c>
      <c r="B221" s="6">
        <v>3.9918</v>
      </c>
    </row>
    <row r="222" spans="1:2">
      <c r="A222" s="1">
        <v>37407</v>
      </c>
      <c r="B222" s="6">
        <v>4.0176999999999996</v>
      </c>
    </row>
    <row r="223" spans="1:2">
      <c r="A223" s="1">
        <v>37437</v>
      </c>
      <c r="B223" s="6">
        <v>4.0537000000000001</v>
      </c>
    </row>
    <row r="224" spans="1:2">
      <c r="A224" s="1">
        <v>37468</v>
      </c>
      <c r="B224" s="6">
        <v>4.1742999999999997</v>
      </c>
    </row>
    <row r="225" spans="1:2">
      <c r="A225" s="1">
        <v>37499</v>
      </c>
      <c r="B225" s="6">
        <v>4.1276999999999999</v>
      </c>
    </row>
    <row r="226" spans="1:2">
      <c r="A226" s="1">
        <v>37529</v>
      </c>
      <c r="B226" s="6">
        <v>4.1466000000000003</v>
      </c>
    </row>
    <row r="227" spans="1:2">
      <c r="A227" s="1">
        <v>37560</v>
      </c>
      <c r="B227" s="6">
        <v>4.0305999999999997</v>
      </c>
    </row>
    <row r="228" spans="1:2">
      <c r="A228" s="1">
        <v>37590</v>
      </c>
      <c r="B228" s="6">
        <v>4.0147000000000004</v>
      </c>
    </row>
    <row r="229" spans="1:2">
      <c r="A229" s="1">
        <v>37621</v>
      </c>
      <c r="B229" s="6">
        <v>3.8279999999999998</v>
      </c>
    </row>
    <row r="230" spans="1:2">
      <c r="A230" s="1">
        <v>37652</v>
      </c>
      <c r="B230" s="6">
        <v>3.8210000000000002</v>
      </c>
    </row>
    <row r="231" spans="1:2">
      <c r="A231" s="1">
        <v>37680</v>
      </c>
      <c r="B231" s="6">
        <v>3.9106999999999998</v>
      </c>
    </row>
    <row r="232" spans="1:2">
      <c r="A232" s="1">
        <v>37711</v>
      </c>
      <c r="B232" s="6">
        <v>4.1005000000000003</v>
      </c>
    </row>
    <row r="233" spans="1:2">
      <c r="A233" s="1">
        <v>37741</v>
      </c>
      <c r="B233" s="6">
        <v>3.8115000000000001</v>
      </c>
    </row>
    <row r="234" spans="1:2">
      <c r="A234" s="1">
        <v>37772</v>
      </c>
      <c r="B234" s="6">
        <v>3.7143999999999999</v>
      </c>
    </row>
    <row r="235" spans="1:2">
      <c r="A235" s="1">
        <v>37802</v>
      </c>
      <c r="B235" s="6">
        <v>3.8988</v>
      </c>
    </row>
    <row r="236" spans="1:2">
      <c r="A236" s="1">
        <v>37833</v>
      </c>
      <c r="B236" s="6">
        <v>3.8664000000000001</v>
      </c>
    </row>
    <row r="237" spans="1:2">
      <c r="A237" s="1">
        <v>37864</v>
      </c>
      <c r="B237" s="6">
        <v>3.97</v>
      </c>
    </row>
    <row r="238" spans="1:2">
      <c r="A238" s="1">
        <v>37894</v>
      </c>
      <c r="B238" s="6">
        <v>3.9468000000000001</v>
      </c>
    </row>
    <row r="239" spans="1:2">
      <c r="A239" s="1">
        <v>37925</v>
      </c>
      <c r="B239" s="6">
        <v>4.0250000000000004</v>
      </c>
    </row>
    <row r="240" spans="1:2">
      <c r="A240" s="1">
        <v>37955</v>
      </c>
      <c r="B240" s="6">
        <v>3.9020000000000001</v>
      </c>
    </row>
    <row r="241" spans="1:2">
      <c r="A241" s="1">
        <v>37986</v>
      </c>
      <c r="B241" s="6">
        <v>3.7252999999999998</v>
      </c>
    </row>
    <row r="242" spans="1:2">
      <c r="A242" s="1">
        <v>38017</v>
      </c>
      <c r="B242" s="6">
        <v>3.8589000000000002</v>
      </c>
    </row>
    <row r="243" spans="1:2">
      <c r="A243" s="1">
        <v>38046</v>
      </c>
      <c r="B243" s="6">
        <v>3.9283000000000001</v>
      </c>
    </row>
    <row r="244" spans="1:2">
      <c r="A244" s="1">
        <v>38077</v>
      </c>
      <c r="B244" s="6">
        <v>3.8645</v>
      </c>
    </row>
    <row r="245" spans="1:2">
      <c r="A245" s="1">
        <v>38107</v>
      </c>
      <c r="B245" s="6">
        <v>4.0149999999999997</v>
      </c>
    </row>
    <row r="246" spans="1:2">
      <c r="A246" s="1">
        <v>38138</v>
      </c>
      <c r="B246" s="6">
        <v>3.8159000000000001</v>
      </c>
    </row>
    <row r="247" spans="1:2">
      <c r="A247" s="1">
        <v>38168</v>
      </c>
      <c r="B247" s="6">
        <v>3.6945000000000001</v>
      </c>
    </row>
    <row r="248" spans="1:2">
      <c r="A248" s="1">
        <v>38199</v>
      </c>
      <c r="B248" s="6">
        <v>3.633</v>
      </c>
    </row>
    <row r="249" spans="1:2">
      <c r="A249" s="1">
        <v>38230</v>
      </c>
      <c r="B249" s="6">
        <v>3.6526000000000001</v>
      </c>
    </row>
    <row r="250" spans="1:2">
      <c r="A250" s="1">
        <v>38260</v>
      </c>
      <c r="B250" s="6">
        <v>3.5091000000000001</v>
      </c>
    </row>
    <row r="251" spans="1:2">
      <c r="A251" s="1">
        <v>38291</v>
      </c>
      <c r="B251" s="6">
        <v>3.3841999999999999</v>
      </c>
    </row>
    <row r="252" spans="1:2">
      <c r="A252" s="1">
        <v>38321</v>
      </c>
      <c r="B252" s="6">
        <v>3.1520999999999999</v>
      </c>
    </row>
    <row r="253" spans="1:2">
      <c r="A253" s="1">
        <v>38352</v>
      </c>
      <c r="B253" s="6">
        <v>2.9994000000000001</v>
      </c>
    </row>
    <row r="254" spans="1:2">
      <c r="A254" s="1">
        <v>38383</v>
      </c>
      <c r="B254" s="6">
        <v>3.1105999999999998</v>
      </c>
    </row>
    <row r="255" spans="1:2">
      <c r="A255" s="1">
        <v>38411</v>
      </c>
      <c r="B255" s="6">
        <v>2.9384000000000001</v>
      </c>
    </row>
    <row r="256" spans="1:2">
      <c r="A256" s="1">
        <v>38442</v>
      </c>
      <c r="B256" s="6">
        <v>3.1444999999999999</v>
      </c>
    </row>
    <row r="257" spans="1:2">
      <c r="A257" s="1">
        <v>38472</v>
      </c>
      <c r="B257" s="6">
        <v>3.3087</v>
      </c>
    </row>
    <row r="258" spans="1:2">
      <c r="A258" s="1">
        <v>38503</v>
      </c>
      <c r="B258" s="6">
        <v>3.3612000000000002</v>
      </c>
    </row>
    <row r="259" spans="1:2">
      <c r="A259" s="1">
        <v>38533</v>
      </c>
      <c r="B259" s="6">
        <v>3.3431000000000002</v>
      </c>
    </row>
    <row r="260" spans="1:2">
      <c r="A260" s="1">
        <v>38564</v>
      </c>
      <c r="B260" s="6">
        <v>3.3531</v>
      </c>
    </row>
    <row r="261" spans="1:2">
      <c r="A261" s="1">
        <v>38595</v>
      </c>
      <c r="B261" s="6">
        <v>3.2707000000000002</v>
      </c>
    </row>
    <row r="262" spans="1:2">
      <c r="A262" s="1">
        <v>38625</v>
      </c>
      <c r="B262" s="6">
        <v>3.2368999999999999</v>
      </c>
    </row>
    <row r="263" spans="1:2">
      <c r="A263" s="1">
        <v>38656</v>
      </c>
      <c r="B263" s="6">
        <v>3.3073999999999999</v>
      </c>
    </row>
    <row r="264" spans="1:2">
      <c r="A264" s="1">
        <v>38686</v>
      </c>
      <c r="B264" s="6">
        <v>3.3132999999999999</v>
      </c>
    </row>
    <row r="265" spans="1:2">
      <c r="A265" s="1">
        <v>38717</v>
      </c>
      <c r="B265" s="6">
        <v>3.2446999999999999</v>
      </c>
    </row>
    <row r="266" spans="1:2">
      <c r="A266" s="1">
        <v>38748</v>
      </c>
      <c r="B266" s="6">
        <v>3.1457000000000002</v>
      </c>
    </row>
    <row r="267" spans="1:2">
      <c r="A267" s="1">
        <v>38776</v>
      </c>
      <c r="B267" s="6">
        <v>3.1699000000000002</v>
      </c>
    </row>
    <row r="268" spans="1:2">
      <c r="A268" s="1">
        <v>38807</v>
      </c>
      <c r="B268" s="6">
        <v>3.2351999999999999</v>
      </c>
    </row>
    <row r="269" spans="1:2">
      <c r="A269" s="1">
        <v>38837</v>
      </c>
      <c r="B269" s="6">
        <v>3.0703</v>
      </c>
    </row>
    <row r="270" spans="1:2">
      <c r="A270" s="1">
        <v>38868</v>
      </c>
      <c r="B270" s="6">
        <v>3.0666000000000002</v>
      </c>
    </row>
    <row r="271" spans="1:2">
      <c r="A271" s="1">
        <v>38898</v>
      </c>
      <c r="B271" s="6">
        <v>3.1905999999999999</v>
      </c>
    </row>
    <row r="272" spans="1:2">
      <c r="A272" s="1">
        <v>38929</v>
      </c>
      <c r="B272" s="6">
        <v>3.0912000000000002</v>
      </c>
    </row>
    <row r="273" spans="1:2">
      <c r="A273" s="1">
        <v>38960</v>
      </c>
      <c r="B273" s="6">
        <v>3.0798000000000001</v>
      </c>
    </row>
    <row r="274" spans="1:2">
      <c r="A274" s="1">
        <v>38990</v>
      </c>
      <c r="B274" s="6">
        <v>3.1276000000000002</v>
      </c>
    </row>
    <row r="275" spans="1:2">
      <c r="A275" s="1">
        <v>39021</v>
      </c>
      <c r="B275" s="6">
        <v>3.0285000000000002</v>
      </c>
    </row>
    <row r="276" spans="1:2">
      <c r="A276" s="1">
        <v>39051</v>
      </c>
      <c r="B276" s="6">
        <v>2.8761000000000001</v>
      </c>
    </row>
    <row r="277" spans="1:2">
      <c r="A277" s="1">
        <v>39082</v>
      </c>
      <c r="B277" s="6">
        <v>2.9018000000000002</v>
      </c>
    </row>
    <row r="278" spans="1:2">
      <c r="A278" s="1">
        <v>39113</v>
      </c>
      <c r="B278" s="6">
        <v>3.0078999999999998</v>
      </c>
    </row>
    <row r="279" spans="1:2">
      <c r="A279" s="1">
        <v>39141</v>
      </c>
      <c r="B279" s="6">
        <v>2.9689999999999999</v>
      </c>
    </row>
    <row r="280" spans="1:2">
      <c r="A280" s="1">
        <v>39172</v>
      </c>
      <c r="B280" s="6">
        <v>2.8854000000000002</v>
      </c>
    </row>
    <row r="281" spans="1:2">
      <c r="A281" s="1">
        <v>39202</v>
      </c>
      <c r="B281" s="6">
        <v>2.7719</v>
      </c>
    </row>
    <row r="282" spans="1:2">
      <c r="A282" s="1">
        <v>39233</v>
      </c>
      <c r="B282" s="6">
        <v>2.8357000000000001</v>
      </c>
    </row>
    <row r="283" spans="1:2">
      <c r="A283" s="1">
        <v>39263</v>
      </c>
      <c r="B283" s="6">
        <v>2.7852000000000001</v>
      </c>
    </row>
    <row r="284" spans="1:2">
      <c r="A284" s="1">
        <v>39294</v>
      </c>
      <c r="B284" s="6">
        <v>2.7667000000000002</v>
      </c>
    </row>
    <row r="285" spans="1:2">
      <c r="A285" s="1">
        <v>39325</v>
      </c>
      <c r="B285" s="6">
        <v>2.8058999999999998</v>
      </c>
    </row>
    <row r="286" spans="1:2">
      <c r="A286" s="1">
        <v>39355</v>
      </c>
      <c r="B286" s="6">
        <v>2.6495000000000002</v>
      </c>
    </row>
    <row r="287" spans="1:2">
      <c r="A287" s="1">
        <v>39386</v>
      </c>
      <c r="B287" s="6">
        <v>2.508</v>
      </c>
    </row>
    <row r="288" spans="1:2">
      <c r="A288" s="1">
        <v>39416</v>
      </c>
      <c r="B288" s="6">
        <v>2.4567999999999999</v>
      </c>
    </row>
    <row r="289" spans="1:2">
      <c r="A289" s="1">
        <v>39447</v>
      </c>
      <c r="B289" s="6">
        <v>2.4464999999999999</v>
      </c>
    </row>
    <row r="290" spans="1:2">
      <c r="A290" s="1">
        <v>39478</v>
      </c>
      <c r="B290" s="6">
        <v>2.4312</v>
      </c>
    </row>
    <row r="291" spans="1:2">
      <c r="A291" s="1">
        <v>39507</v>
      </c>
      <c r="B291" s="6">
        <v>2.3123</v>
      </c>
    </row>
    <row r="292" spans="1:2">
      <c r="A292" s="1">
        <v>39538</v>
      </c>
      <c r="B292" s="6">
        <v>2.2265999999999999</v>
      </c>
    </row>
    <row r="293" spans="1:2">
      <c r="A293" s="1">
        <v>39568</v>
      </c>
      <c r="B293" s="6">
        <v>2.2151999999999998</v>
      </c>
    </row>
    <row r="294" spans="1:2">
      <c r="A294" s="1">
        <v>39599</v>
      </c>
      <c r="B294" s="6">
        <v>2.1686000000000001</v>
      </c>
    </row>
    <row r="295" spans="1:2">
      <c r="A295" s="1">
        <v>39629</v>
      </c>
      <c r="B295" s="6">
        <v>2.1293000000000002</v>
      </c>
    </row>
    <row r="296" spans="1:2">
      <c r="A296" s="1">
        <v>39660</v>
      </c>
      <c r="B296" s="6">
        <v>2.0602999999999998</v>
      </c>
    </row>
    <row r="297" spans="1:2">
      <c r="A297" s="1">
        <v>39691</v>
      </c>
      <c r="B297" s="6">
        <v>2.2742</v>
      </c>
    </row>
    <row r="298" spans="1:2">
      <c r="A298" s="1">
        <v>39721</v>
      </c>
      <c r="B298" s="6">
        <v>2.4161000000000001</v>
      </c>
    </row>
    <row r="299" spans="1:2">
      <c r="A299" s="1">
        <v>39752</v>
      </c>
      <c r="B299" s="6">
        <v>2.7542</v>
      </c>
    </row>
    <row r="300" spans="1:2">
      <c r="A300" s="1">
        <v>39782</v>
      </c>
      <c r="B300" s="6">
        <v>2.9718</v>
      </c>
    </row>
    <row r="301" spans="1:2">
      <c r="A301" s="1">
        <v>39813</v>
      </c>
      <c r="B301" s="6">
        <v>2.9382999999999999</v>
      </c>
    </row>
    <row r="302" spans="1:2">
      <c r="A302" s="1">
        <v>39844</v>
      </c>
      <c r="B302" s="6">
        <v>3.4706000000000001</v>
      </c>
    </row>
    <row r="303" spans="1:2">
      <c r="A303" s="1">
        <v>39872</v>
      </c>
      <c r="B303" s="6">
        <v>3.6587999999999998</v>
      </c>
    </row>
    <row r="304" spans="1:2">
      <c r="A304" s="1">
        <v>39903</v>
      </c>
      <c r="B304" s="6">
        <v>3.5139</v>
      </c>
    </row>
    <row r="305" spans="1:2">
      <c r="A305" s="1">
        <v>39933</v>
      </c>
      <c r="B305" s="6">
        <v>3.3454999999999999</v>
      </c>
    </row>
    <row r="306" spans="1:2">
      <c r="A306" s="1">
        <v>39964</v>
      </c>
      <c r="B306" s="6">
        <v>3.1928000000000001</v>
      </c>
    </row>
    <row r="307" spans="1:2">
      <c r="A307" s="1">
        <v>39994</v>
      </c>
      <c r="B307" s="6">
        <v>3.1720000000000002</v>
      </c>
    </row>
    <row r="308" spans="1:2">
      <c r="A308" s="1">
        <v>40025</v>
      </c>
      <c r="B308" s="6">
        <v>2.9079000000000002</v>
      </c>
    </row>
    <row r="309" spans="1:2">
      <c r="A309" s="1">
        <v>40056</v>
      </c>
      <c r="B309" s="6">
        <v>2.8525999999999998</v>
      </c>
    </row>
    <row r="310" spans="1:2">
      <c r="A310" s="1">
        <v>40086</v>
      </c>
      <c r="B310" s="6">
        <v>2.8691</v>
      </c>
    </row>
    <row r="311" spans="1:2">
      <c r="A311" s="1">
        <v>40117</v>
      </c>
      <c r="B311" s="6">
        <v>2.8858999999999999</v>
      </c>
    </row>
    <row r="312" spans="1:2">
      <c r="A312" s="1">
        <v>40147</v>
      </c>
      <c r="B312" s="6">
        <v>2.7789999999999999</v>
      </c>
    </row>
    <row r="313" spans="1:2">
      <c r="A313" s="1">
        <v>40178</v>
      </c>
      <c r="B313" s="6">
        <v>2.8601999999999999</v>
      </c>
    </row>
    <row r="314" spans="1:2">
      <c r="A314" s="1">
        <v>40209</v>
      </c>
      <c r="B314" s="6">
        <v>2.9068999999999998</v>
      </c>
    </row>
    <row r="315" spans="1:2">
      <c r="A315" s="1">
        <v>40237</v>
      </c>
      <c r="B315" s="6">
        <v>2.9007999999999998</v>
      </c>
    </row>
    <row r="316" spans="1:2">
      <c r="A316" s="1">
        <v>40268</v>
      </c>
      <c r="B316" s="6">
        <v>2.8492000000000002</v>
      </c>
    </row>
    <row r="317" spans="1:2">
      <c r="A317" s="1">
        <v>40298</v>
      </c>
      <c r="B317" s="6">
        <v>2.9546999999999999</v>
      </c>
    </row>
    <row r="318" spans="1:2">
      <c r="A318" s="1">
        <v>40329</v>
      </c>
      <c r="B318" s="6">
        <v>3.3121</v>
      </c>
    </row>
    <row r="319" spans="1:2">
      <c r="A319" s="1">
        <v>40359</v>
      </c>
      <c r="B319" s="6">
        <v>3.3696999999999999</v>
      </c>
    </row>
    <row r="320" spans="1:2">
      <c r="A320" s="1">
        <v>40390</v>
      </c>
      <c r="B320" s="6">
        <v>3.0672999999999999</v>
      </c>
    </row>
    <row r="321" spans="1:2">
      <c r="A321" s="1">
        <v>40421</v>
      </c>
      <c r="B321" s="6">
        <v>3.1457999999999999</v>
      </c>
    </row>
    <row r="322" spans="1:2">
      <c r="A322" s="1">
        <v>40451</v>
      </c>
      <c r="B322" s="6">
        <v>2.9136000000000002</v>
      </c>
    </row>
    <row r="323" spans="1:2">
      <c r="A323" s="1">
        <v>40482</v>
      </c>
      <c r="B323" s="6">
        <v>2.8462000000000001</v>
      </c>
    </row>
    <row r="324" spans="1:2">
      <c r="A324" s="1">
        <v>40512</v>
      </c>
      <c r="B324" s="6">
        <v>3.0840999999999998</v>
      </c>
    </row>
    <row r="325" spans="1:2">
      <c r="A325" s="1">
        <v>40543</v>
      </c>
      <c r="B325" s="6">
        <v>2.9579</v>
      </c>
    </row>
    <row r="326" spans="1:2">
      <c r="A326" s="1">
        <v>40574</v>
      </c>
      <c r="B326" s="6">
        <v>2.8677000000000001</v>
      </c>
    </row>
    <row r="327" spans="1:2">
      <c r="A327" s="1">
        <v>40602</v>
      </c>
      <c r="B327" s="6">
        <v>2.8692000000000002</v>
      </c>
    </row>
    <row r="328" spans="1:2">
      <c r="A328" s="1">
        <v>40633</v>
      </c>
      <c r="B328" s="6">
        <v>2.8386</v>
      </c>
    </row>
    <row r="329" spans="1:2">
      <c r="A329" s="1">
        <v>40663</v>
      </c>
      <c r="B329" s="6">
        <v>2.6528</v>
      </c>
    </row>
    <row r="330" spans="1:2">
      <c r="A330" s="1">
        <v>40694</v>
      </c>
      <c r="B330" s="6">
        <v>2.7490999999999999</v>
      </c>
    </row>
    <row r="331" spans="1:2">
      <c r="A331" s="1">
        <v>40724</v>
      </c>
      <c r="B331" s="6">
        <v>2.742</v>
      </c>
    </row>
    <row r="332" spans="1:2">
      <c r="A332" s="1">
        <v>40755</v>
      </c>
      <c r="B332" s="6">
        <v>2.7824</v>
      </c>
    </row>
    <row r="333" spans="1:2">
      <c r="A333" s="1">
        <v>40786</v>
      </c>
      <c r="B333" s="6">
        <v>2.8645999999999998</v>
      </c>
    </row>
    <row r="334" spans="1:2">
      <c r="A334" s="1">
        <v>40816</v>
      </c>
      <c r="B334" s="6">
        <v>3.2852000000000001</v>
      </c>
    </row>
    <row r="335" spans="1:2">
      <c r="A335" s="1">
        <v>40847</v>
      </c>
      <c r="B335" s="6">
        <v>3.1320999999999999</v>
      </c>
    </row>
    <row r="336" spans="1:2">
      <c r="A336" s="1">
        <v>40877</v>
      </c>
      <c r="B336" s="6">
        <v>3.3460000000000001</v>
      </c>
    </row>
    <row r="337" spans="1:2">
      <c r="A337" s="1">
        <v>40908</v>
      </c>
      <c r="B337" s="6">
        <v>3.4443000000000001</v>
      </c>
    </row>
    <row r="338" spans="1:2">
      <c r="A338" s="1">
        <v>40939</v>
      </c>
      <c r="B338" s="6">
        <v>3.2382</v>
      </c>
    </row>
    <row r="339" spans="1:2">
      <c r="A339" s="1">
        <v>40968</v>
      </c>
      <c r="B339" s="6">
        <v>3.0842000000000001</v>
      </c>
    </row>
    <row r="340" spans="1:2">
      <c r="A340" s="1">
        <v>40999</v>
      </c>
      <c r="B340" s="6">
        <v>3.1040000000000001</v>
      </c>
    </row>
    <row r="341" spans="1:2">
      <c r="A341" s="1">
        <v>41029</v>
      </c>
      <c r="B341" s="6">
        <v>3.1549</v>
      </c>
    </row>
    <row r="342" spans="1:2">
      <c r="A342" s="1">
        <v>41060</v>
      </c>
      <c r="B342" s="6">
        <v>3.5493999999999999</v>
      </c>
    </row>
    <row r="343" spans="1:2">
      <c r="A343" s="1">
        <v>41090</v>
      </c>
      <c r="B343" s="6">
        <v>3.3344999999999998</v>
      </c>
    </row>
    <row r="344" spans="1:2">
      <c r="A344" s="1">
        <v>41121</v>
      </c>
      <c r="B344" s="6">
        <v>3.3433000000000002</v>
      </c>
    </row>
    <row r="345" spans="1:2">
      <c r="A345" s="1">
        <v>41152</v>
      </c>
      <c r="B345" s="6">
        <v>3.3147000000000002</v>
      </c>
    </row>
    <row r="346" spans="1:2">
      <c r="A346" s="1">
        <v>41182</v>
      </c>
      <c r="B346" s="6">
        <v>3.1938</v>
      </c>
    </row>
    <row r="347" spans="1:2">
      <c r="A347" s="1">
        <v>41213</v>
      </c>
      <c r="B347" s="6">
        <v>3.1876000000000002</v>
      </c>
    </row>
    <row r="348" spans="1:2">
      <c r="A348" s="1">
        <v>41243</v>
      </c>
      <c r="B348" s="6">
        <v>3.1543000000000001</v>
      </c>
    </row>
    <row r="349" spans="1:2">
      <c r="A349" s="1">
        <v>41274</v>
      </c>
      <c r="B349" s="6">
        <v>3.0935000000000001</v>
      </c>
    </row>
    <row r="350" spans="1:2">
      <c r="A350" s="1">
        <v>41305</v>
      </c>
      <c r="B350" s="6">
        <v>3.0876000000000001</v>
      </c>
    </row>
    <row r="351" spans="1:2">
      <c r="A351" s="1">
        <v>41333</v>
      </c>
      <c r="B351" s="6">
        <v>3.1696</v>
      </c>
    </row>
    <row r="352" spans="1:2">
      <c r="A352" s="1">
        <v>41364</v>
      </c>
      <c r="B352" s="6">
        <v>3.2566000000000002</v>
      </c>
    </row>
    <row r="353" spans="1:2">
      <c r="A353" s="1">
        <v>41394</v>
      </c>
      <c r="B353" s="6">
        <v>3.1593</v>
      </c>
    </row>
    <row r="354" spans="1:2">
      <c r="A354" s="1">
        <v>41425</v>
      </c>
      <c r="B354" s="6">
        <v>3.2934999999999999</v>
      </c>
    </row>
    <row r="355" spans="1:2">
      <c r="A355" s="1">
        <v>41455</v>
      </c>
      <c r="B355" s="6">
        <v>3.3290999999999999</v>
      </c>
    </row>
    <row r="356" spans="1:2">
      <c r="A356" s="1">
        <v>41486</v>
      </c>
      <c r="B356" s="6">
        <v>3.2018</v>
      </c>
    </row>
    <row r="357" spans="1:2">
      <c r="A357" s="1">
        <v>41517</v>
      </c>
      <c r="B357" s="6">
        <v>3.2311000000000001</v>
      </c>
    </row>
    <row r="358" spans="1:2">
      <c r="A358" s="1">
        <v>41547</v>
      </c>
      <c r="B358" s="6">
        <v>3.1190000000000002</v>
      </c>
    </row>
    <row r="359" spans="1:2">
      <c r="A359" s="1">
        <v>41578</v>
      </c>
      <c r="B359" s="6">
        <v>3.0752999999999999</v>
      </c>
    </row>
    <row r="360" spans="1:2">
      <c r="A360" s="1">
        <v>41608</v>
      </c>
      <c r="B360" s="6">
        <v>3.0931000000000002</v>
      </c>
    </row>
    <row r="361" spans="1:2">
      <c r="A361" s="1">
        <v>41639</v>
      </c>
      <c r="B361" s="6">
        <v>3.0179999999999998</v>
      </c>
    </row>
    <row r="362" spans="1:2">
      <c r="A362" s="1">
        <v>41670</v>
      </c>
      <c r="B362" s="6">
        <v>3.1495000000000002</v>
      </c>
    </row>
    <row r="363" spans="1:2">
      <c r="A363" s="1">
        <v>41698</v>
      </c>
      <c r="B363" s="6">
        <v>3.0102000000000002</v>
      </c>
    </row>
    <row r="364" spans="1:2">
      <c r="A364" s="1">
        <v>41729</v>
      </c>
      <c r="B364" s="6">
        <v>3.02</v>
      </c>
    </row>
    <row r="365" spans="1:2">
      <c r="A365" s="1">
        <v>41759</v>
      </c>
      <c r="B365" s="6">
        <v>3.0276000000000001</v>
      </c>
    </row>
    <row r="366" spans="1:2">
      <c r="A366" s="1">
        <v>41790</v>
      </c>
      <c r="B366" s="6">
        <v>3.0320999999999998</v>
      </c>
    </row>
    <row r="367" spans="1:2">
      <c r="A367" s="1">
        <v>41820</v>
      </c>
      <c r="B367" s="6">
        <v>3.0327999999999999</v>
      </c>
    </row>
    <row r="368" spans="1:2">
      <c r="A368" s="1">
        <v>41851</v>
      </c>
      <c r="B368" s="6">
        <v>3.1173000000000002</v>
      </c>
    </row>
    <row r="369" spans="1:2">
      <c r="A369" s="1">
        <v>41882</v>
      </c>
      <c r="B369" s="6">
        <v>3.2008999999999999</v>
      </c>
    </row>
    <row r="370" spans="1:2">
      <c r="A370" s="1">
        <v>41912</v>
      </c>
      <c r="B370" s="6">
        <v>3.3058999999999998</v>
      </c>
    </row>
    <row r="371" spans="1:2">
      <c r="A371" s="1">
        <v>41943</v>
      </c>
      <c r="B371" s="6">
        <v>3.3746</v>
      </c>
    </row>
    <row r="372" spans="1:2">
      <c r="A372" s="1">
        <v>41973</v>
      </c>
      <c r="B372" s="6">
        <v>3.3601999999999999</v>
      </c>
    </row>
    <row r="373" spans="1:2">
      <c r="A373" s="1">
        <v>42004</v>
      </c>
      <c r="B373" s="6">
        <v>3.5411999999999999</v>
      </c>
    </row>
    <row r="374" spans="1:2">
      <c r="A374" s="1">
        <v>42035</v>
      </c>
      <c r="B374" s="6">
        <v>3.7027999999999999</v>
      </c>
    </row>
    <row r="375" spans="1:2">
      <c r="A375" s="1">
        <v>42063</v>
      </c>
      <c r="B375" s="6">
        <v>3.7052</v>
      </c>
    </row>
    <row r="376" spans="1:2">
      <c r="A376" s="1">
        <v>42094</v>
      </c>
      <c r="B376" s="6">
        <v>3.79365</v>
      </c>
    </row>
    <row r="377" spans="1:2">
      <c r="A377" s="1">
        <v>42124</v>
      </c>
      <c r="B377" s="6">
        <v>3.6038999999999999</v>
      </c>
    </row>
    <row r="378" spans="1:2">
      <c r="A378" s="1">
        <v>42155</v>
      </c>
      <c r="B378" s="6">
        <v>3.7437999999999998</v>
      </c>
    </row>
    <row r="379" spans="1:2">
      <c r="A379" s="1">
        <v>42185</v>
      </c>
      <c r="B379" s="6">
        <v>3.7615099999999999</v>
      </c>
    </row>
    <row r="380" spans="1:2">
      <c r="A380" s="1">
        <v>42216</v>
      </c>
      <c r="B380" s="6">
        <v>3.7728000000000002</v>
      </c>
    </row>
    <row r="381" spans="1:2">
      <c r="A381" s="1">
        <v>42247</v>
      </c>
      <c r="B381" s="6">
        <v>3.7738</v>
      </c>
    </row>
    <row r="382" spans="1:2">
      <c r="A382" s="1">
        <v>42277</v>
      </c>
      <c r="B382" s="6">
        <v>3.8006500000000001</v>
      </c>
    </row>
    <row r="383" spans="1:2">
      <c r="A383" s="1">
        <v>42308</v>
      </c>
      <c r="B383" s="6">
        <v>3.8626</v>
      </c>
    </row>
    <row r="384" spans="1:2">
      <c r="A384" s="1">
        <v>42338</v>
      </c>
      <c r="B384" s="6">
        <v>4.0378299999999996</v>
      </c>
    </row>
    <row r="385" spans="1:2">
      <c r="A385" s="1">
        <v>42369</v>
      </c>
      <c r="B385" s="6">
        <v>3.9255499999999999</v>
      </c>
    </row>
    <row r="386" spans="1:2">
      <c r="A386" s="1">
        <v>42400</v>
      </c>
      <c r="B386" s="6">
        <v>4.0799599999999998</v>
      </c>
    </row>
    <row r="387" spans="1:2">
      <c r="A387" s="1">
        <v>42429</v>
      </c>
      <c r="B387" s="6">
        <v>3.99756</v>
      </c>
    </row>
    <row r="388" spans="1:2">
      <c r="A388" s="1">
        <v>42460</v>
      </c>
      <c r="B388" s="6">
        <v>3.7281499999999999</v>
      </c>
    </row>
    <row r="389" spans="1:2">
      <c r="A389" s="1">
        <v>42490</v>
      </c>
      <c r="B389" s="6">
        <v>3.8206000000000002</v>
      </c>
    </row>
    <row r="390" spans="1:2">
      <c r="A390" s="1">
        <v>42521</v>
      </c>
      <c r="B390" s="6">
        <v>3.9410500000000002</v>
      </c>
    </row>
    <row r="391" spans="1:2">
      <c r="A391" s="1">
        <v>42551</v>
      </c>
      <c r="B391" s="6">
        <v>3.9383300000000001</v>
      </c>
    </row>
    <row r="392" spans="1:2">
      <c r="A392" s="1">
        <v>42582</v>
      </c>
      <c r="B392" s="6">
        <v>3.89642</v>
      </c>
    </row>
    <row r="393" spans="1:2">
      <c r="A393" s="1">
        <v>42613</v>
      </c>
      <c r="B393" s="6">
        <v>3.91011</v>
      </c>
    </row>
    <row r="394" spans="1:2">
      <c r="A394" s="1">
        <v>42643</v>
      </c>
      <c r="B394" s="6">
        <v>3.82375</v>
      </c>
    </row>
    <row r="395" spans="1:2">
      <c r="A395" s="1">
        <v>42674</v>
      </c>
      <c r="B395" s="6">
        <v>3.92543</v>
      </c>
    </row>
    <row r="396" spans="1:2">
      <c r="A396" s="1">
        <v>42704</v>
      </c>
      <c r="B396" s="6">
        <v>4.20465</v>
      </c>
    </row>
    <row r="397" spans="1:2">
      <c r="A397" s="1">
        <v>42735</v>
      </c>
      <c r="B397" s="6">
        <v>4.1854699999999996</v>
      </c>
    </row>
    <row r="398" spans="1:2">
      <c r="A398" s="1">
        <v>42766</v>
      </c>
      <c r="B398" s="6">
        <v>4.0025700000000004</v>
      </c>
    </row>
    <row r="399" spans="1:2">
      <c r="A399" s="1">
        <v>42794</v>
      </c>
      <c r="B399" s="6">
        <v>4.0721999999999996</v>
      </c>
    </row>
    <row r="400" spans="1:2">
      <c r="A400" s="1">
        <v>42825</v>
      </c>
      <c r="B400" s="6">
        <v>3.9655499999999999</v>
      </c>
    </row>
    <row r="401" spans="1:2">
      <c r="A401" s="1">
        <v>42855</v>
      </c>
      <c r="B401" s="6">
        <v>3.8792</v>
      </c>
    </row>
    <row r="402" spans="1:2">
      <c r="A402" s="1">
        <v>42886</v>
      </c>
      <c r="B402" s="6">
        <v>3.7193399999999999</v>
      </c>
    </row>
    <row r="403" spans="1:2">
      <c r="A403" s="1">
        <v>42916</v>
      </c>
      <c r="B403" s="6">
        <v>3.7054</v>
      </c>
    </row>
    <row r="404" spans="1:2">
      <c r="A404" s="1">
        <v>42947</v>
      </c>
      <c r="B404" s="6">
        <v>3.5947300000000002</v>
      </c>
    </row>
    <row r="405" spans="1:2">
      <c r="A405" s="1">
        <v>42978</v>
      </c>
      <c r="B405" s="6">
        <v>3.5632000000000001</v>
      </c>
    </row>
    <row r="406" spans="1:2">
      <c r="A406" s="1">
        <v>43008</v>
      </c>
      <c r="B406" s="6">
        <v>3.6489699999999998</v>
      </c>
    </row>
    <row r="407" spans="1:2">
      <c r="A407" s="1">
        <v>43039</v>
      </c>
      <c r="B407" s="6">
        <v>3.6386599999999998</v>
      </c>
    </row>
    <row r="408" spans="1:2">
      <c r="A408" s="1">
        <v>43069</v>
      </c>
      <c r="B408" s="6">
        <v>3.5347</v>
      </c>
    </row>
    <row r="409" spans="1:2">
      <c r="A409" s="1">
        <v>43100</v>
      </c>
      <c r="B409" s="6">
        <v>3.4803500000000001</v>
      </c>
    </row>
    <row r="410" spans="1:2">
      <c r="A410" s="1">
        <v>43131</v>
      </c>
      <c r="B410" s="6">
        <v>3.3454999999999999</v>
      </c>
    </row>
    <row r="411" spans="1:2">
      <c r="A411" s="1">
        <v>43159</v>
      </c>
      <c r="B411" s="6">
        <v>3.4248500000000002</v>
      </c>
    </row>
    <row r="412" spans="1:2">
      <c r="A412" s="1">
        <v>43190</v>
      </c>
      <c r="B412" s="6">
        <v>3.4204500000000002</v>
      </c>
    </row>
    <row r="413" spans="1:2">
      <c r="A413" s="1">
        <v>43220</v>
      </c>
      <c r="B413" s="6">
        <v>3.5091700000000001</v>
      </c>
    </row>
    <row r="414" spans="1:2">
      <c r="A414" s="1">
        <v>43251</v>
      </c>
      <c r="B414" s="6">
        <v>3.6924600000000001</v>
      </c>
    </row>
    <row r="415" spans="1:2">
      <c r="A415" s="1">
        <v>43281</v>
      </c>
      <c r="B415" s="6">
        <v>3.7456399999999999</v>
      </c>
    </row>
    <row r="416" spans="1:2">
      <c r="A416" s="1">
        <v>43312</v>
      </c>
      <c r="B416" s="6">
        <v>3.6588799999999999</v>
      </c>
    </row>
    <row r="417" spans="1:2">
      <c r="A417" s="1">
        <v>43343</v>
      </c>
      <c r="B417" s="6">
        <v>3.7065100000000002</v>
      </c>
    </row>
    <row r="418" spans="1:2">
      <c r="A418" s="1">
        <v>43373</v>
      </c>
      <c r="B418" s="6">
        <v>3.6865000000000001</v>
      </c>
    </row>
    <row r="419" spans="1:2">
      <c r="A419" s="1">
        <v>43404</v>
      </c>
      <c r="B419" s="6">
        <v>3.83704</v>
      </c>
    </row>
    <row r="420" spans="1:2">
      <c r="A420" s="1">
        <v>43434</v>
      </c>
      <c r="B420" s="6">
        <v>3.7911700000000002</v>
      </c>
    </row>
    <row r="421" spans="1:2">
      <c r="A421" s="1">
        <v>43465</v>
      </c>
      <c r="B421" s="6">
        <v>3.74105</v>
      </c>
    </row>
    <row r="422" spans="1:2">
      <c r="A422" s="1">
        <v>43496</v>
      </c>
      <c r="B422" s="6">
        <v>3.7236500000000001</v>
      </c>
    </row>
    <row r="423" spans="1:2">
      <c r="A423" s="1">
        <v>43524</v>
      </c>
      <c r="B423" s="6">
        <v>3.7850000000000001</v>
      </c>
    </row>
    <row r="424" spans="1:2">
      <c r="A424" s="1">
        <v>43555</v>
      </c>
      <c r="B424" s="6">
        <v>3.83745</v>
      </c>
    </row>
    <row r="425" spans="1:2">
      <c r="A425" s="1">
        <v>43585</v>
      </c>
      <c r="B425" s="6">
        <v>3.8215499999999998</v>
      </c>
    </row>
    <row r="426" spans="1:2">
      <c r="A426" s="1">
        <v>43616</v>
      </c>
      <c r="B426" s="6">
        <v>3.8327100000000001</v>
      </c>
    </row>
    <row r="427" spans="1:2">
      <c r="A427" s="1">
        <v>43646</v>
      </c>
      <c r="B427" s="6">
        <v>3.7336</v>
      </c>
    </row>
    <row r="428" spans="1:2">
      <c r="A428" s="1">
        <v>43677</v>
      </c>
      <c r="B428" s="6">
        <v>3.8750499999999999</v>
      </c>
    </row>
    <row r="429" spans="1:2">
      <c r="A429" s="1">
        <v>43708</v>
      </c>
      <c r="B429" s="6">
        <v>3.98041</v>
      </c>
    </row>
    <row r="430" spans="1:2">
      <c r="A430" s="1">
        <v>43738</v>
      </c>
      <c r="B430" s="6">
        <v>4.0105599999999999</v>
      </c>
    </row>
    <row r="431" spans="1:2">
      <c r="A431" s="1">
        <v>43769</v>
      </c>
      <c r="B431" s="6">
        <v>3.82239</v>
      </c>
    </row>
    <row r="432" spans="1:2">
      <c r="A432" s="1">
        <v>43799</v>
      </c>
      <c r="B432" s="6">
        <v>3.9161999999999999</v>
      </c>
    </row>
    <row r="433" spans="1:2">
      <c r="A433" s="1">
        <v>43830</v>
      </c>
      <c r="B433" s="6">
        <v>3.7938000000000001</v>
      </c>
    </row>
    <row r="434" spans="1:2">
      <c r="A434" s="1">
        <v>43861</v>
      </c>
      <c r="B434" s="6">
        <v>3.8743599999999998</v>
      </c>
    </row>
    <row r="435" spans="1:2">
      <c r="A435" s="1">
        <v>43890</v>
      </c>
      <c r="B435" s="6">
        <v>3.92137</v>
      </c>
    </row>
    <row r="436" spans="1:2">
      <c r="A436" s="1">
        <v>43921</v>
      </c>
      <c r="B436" s="6">
        <v>4.1321599999999998</v>
      </c>
    </row>
    <row r="437" spans="1:2">
      <c r="A437" s="1">
        <v>43951</v>
      </c>
      <c r="B437" s="6">
        <v>4.1494600000000004</v>
      </c>
    </row>
    <row r="438" spans="1:2">
      <c r="A438" s="1">
        <v>43982</v>
      </c>
      <c r="B438" s="6">
        <v>4.0070899999999998</v>
      </c>
    </row>
    <row r="439" spans="1:2">
      <c r="A439" s="1">
        <v>44012</v>
      </c>
      <c r="B439" s="6">
        <v>3.9588700000000001</v>
      </c>
    </row>
    <row r="440" spans="1:2">
      <c r="A440" s="1">
        <v>44043</v>
      </c>
      <c r="B440" s="6">
        <v>3.7448199999999998</v>
      </c>
    </row>
    <row r="441" spans="1:2">
      <c r="A441" s="1">
        <v>44074</v>
      </c>
      <c r="B441" s="6">
        <v>3.68275</v>
      </c>
    </row>
    <row r="442" spans="1:2">
      <c r="A442" s="1">
        <v>44104</v>
      </c>
      <c r="B442" s="6">
        <v>3.8632499999999999</v>
      </c>
    </row>
    <row r="443" spans="1:2">
      <c r="A443" s="1">
        <v>44135</v>
      </c>
      <c r="B443" s="6">
        <v>3.9548399999999999</v>
      </c>
    </row>
    <row r="444" spans="1:2">
      <c r="A444" s="1">
        <v>44165</v>
      </c>
      <c r="B444" s="6">
        <v>3.7541000000000002</v>
      </c>
    </row>
    <row r="445" spans="1:2">
      <c r="A445" s="1">
        <v>44196</v>
      </c>
      <c r="B445" s="6">
        <v>3.7345999999999999</v>
      </c>
    </row>
    <row r="446" spans="1:2">
      <c r="A446" s="1">
        <v>44227</v>
      </c>
      <c r="B446" s="6">
        <v>3.72404</v>
      </c>
    </row>
    <row r="447" spans="1:2">
      <c r="A447" s="1">
        <v>44255</v>
      </c>
      <c r="B447" s="6">
        <v>3.7465999999999999</v>
      </c>
    </row>
    <row r="448" spans="1:2">
      <c r="A448" s="1">
        <v>44286</v>
      </c>
      <c r="B448" s="6">
        <v>3.9498799999999998</v>
      </c>
    </row>
    <row r="449" spans="1:2">
      <c r="A449" s="1">
        <v>44316</v>
      </c>
      <c r="B449" s="6">
        <v>3.79148</v>
      </c>
    </row>
    <row r="450" spans="1:2">
      <c r="A450" s="1">
        <v>44347</v>
      </c>
      <c r="B450" s="6">
        <v>3.66317</v>
      </c>
    </row>
    <row r="451" spans="1:2">
      <c r="A451" s="1">
        <v>44377</v>
      </c>
      <c r="B451" s="6">
        <v>3.8110499999999998</v>
      </c>
    </row>
    <row r="452" spans="1:2">
      <c r="A452" s="1">
        <v>44408</v>
      </c>
      <c r="B452" s="6">
        <v>3.8528500000000001</v>
      </c>
    </row>
    <row r="453" spans="1:2">
      <c r="A453" s="1">
        <v>44439</v>
      </c>
      <c r="B453" s="6">
        <v>3.8306499999999999</v>
      </c>
    </row>
    <row r="454" spans="1:2">
      <c r="A454" s="1">
        <v>44469</v>
      </c>
      <c r="B454" s="6">
        <v>3.9807199999999998</v>
      </c>
    </row>
    <row r="455" spans="1:2">
      <c r="A455" s="1">
        <v>44500</v>
      </c>
      <c r="B455" s="6">
        <v>3.9906999999999999</v>
      </c>
    </row>
    <row r="456" spans="1:2">
      <c r="A456" s="1">
        <v>44530</v>
      </c>
      <c r="B456" s="6">
        <v>4.11015</v>
      </c>
    </row>
    <row r="457" spans="1:2">
      <c r="A457" s="1">
        <v>44561</v>
      </c>
      <c r="B457" s="6">
        <v>4.0340999999999996</v>
      </c>
    </row>
    <row r="458" spans="1:2">
      <c r="A458" s="1">
        <v>44592</v>
      </c>
      <c r="B458" s="6">
        <v>4.0781999999999998</v>
      </c>
    </row>
    <row r="459" spans="1:2">
      <c r="A459" s="1">
        <v>44620</v>
      </c>
      <c r="B459" s="6">
        <v>4.1908300000000001</v>
      </c>
    </row>
    <row r="460" spans="1:2">
      <c r="A460" s="1">
        <v>44651</v>
      </c>
      <c r="B460" s="6">
        <v>4.1993999999999998</v>
      </c>
    </row>
    <row r="461" spans="1:2">
      <c r="A461" s="1">
        <v>44681</v>
      </c>
      <c r="B461" s="6">
        <v>4.4310499999999999</v>
      </c>
    </row>
    <row r="462" spans="1:2">
      <c r="A462" s="1">
        <v>44712</v>
      </c>
      <c r="B462" s="6">
        <v>4.2712000000000003</v>
      </c>
    </row>
    <row r="463" spans="1:2">
      <c r="A463" s="1">
        <v>44742</v>
      </c>
      <c r="B463" s="6">
        <v>4.4852499999999997</v>
      </c>
    </row>
    <row r="464" spans="1:2">
      <c r="A464" s="1">
        <v>44773</v>
      </c>
      <c r="B464" s="6">
        <v>4.6374399999999998</v>
      </c>
    </row>
    <row r="465" spans="1:2">
      <c r="A465" s="1">
        <v>44804</v>
      </c>
      <c r="B465" s="6">
        <v>4.7008799999999997</v>
      </c>
    </row>
    <row r="466" spans="1:2">
      <c r="A466" s="1">
        <v>44834</v>
      </c>
      <c r="B466" s="6">
        <v>4.9573</v>
      </c>
    </row>
    <row r="467" spans="1:2">
      <c r="A467" s="1">
        <v>44865</v>
      </c>
      <c r="B467" s="6">
        <v>4.7724000000000002</v>
      </c>
    </row>
    <row r="468" spans="1:2">
      <c r="A468" s="1">
        <v>44895</v>
      </c>
      <c r="B468" s="6">
        <v>4.4870000000000001</v>
      </c>
    </row>
    <row r="469" spans="1:2">
      <c r="A469" s="1">
        <v>44926</v>
      </c>
      <c r="B469" s="6">
        <v>4.3803099999999997</v>
      </c>
    </row>
    <row r="470" spans="1:2">
      <c r="A470" s="1">
        <v>44957</v>
      </c>
      <c r="B470" s="6">
        <v>4.3352399999999998</v>
      </c>
    </row>
    <row r="471" spans="1:2">
      <c r="A471" s="1">
        <v>44985</v>
      </c>
      <c r="B471" s="6">
        <v>4.4463499999999998</v>
      </c>
    </row>
    <row r="472" spans="1:2">
      <c r="A472" s="1">
        <v>45016</v>
      </c>
      <c r="B472" s="6">
        <v>4.31426</v>
      </c>
    </row>
    <row r="473" spans="1:2">
      <c r="A473" s="1">
        <v>45046</v>
      </c>
      <c r="B473" s="6">
        <v>4.1619900000000003</v>
      </c>
    </row>
    <row r="474" spans="1:2">
      <c r="A474" s="1">
        <v>45077</v>
      </c>
      <c r="B474" s="6">
        <v>4.2404400000000004</v>
      </c>
    </row>
    <row r="475" spans="1:2">
      <c r="A475" s="1">
        <v>45107</v>
      </c>
      <c r="B475" s="6">
        <v>4.0650500000000003</v>
      </c>
    </row>
    <row r="476" spans="1:2">
      <c r="A476" s="1">
        <v>45138</v>
      </c>
      <c r="B476" s="6">
        <v>4.0039499999999997</v>
      </c>
    </row>
    <row r="477" spans="1:2">
      <c r="A477" s="1">
        <v>45169</v>
      </c>
      <c r="B477" s="6">
        <v>4.1231200000000001</v>
      </c>
    </row>
    <row r="478" spans="1:2">
      <c r="A478" s="1">
        <v>45199</v>
      </c>
      <c r="B478" s="6">
        <v>4.3677299999999999</v>
      </c>
    </row>
    <row r="479" spans="1:2">
      <c r="A479" s="1">
        <v>45230</v>
      </c>
      <c r="B479" s="6">
        <v>4.2127999999999997</v>
      </c>
    </row>
    <row r="480" spans="1:2">
      <c r="A480" s="1">
        <v>45260</v>
      </c>
      <c r="B480" s="6">
        <v>3.9969999999999999</v>
      </c>
    </row>
    <row r="481" spans="1:2">
      <c r="A481" s="1">
        <v>45291</v>
      </c>
      <c r="B481" s="6">
        <v>3.9341699999999999</v>
      </c>
    </row>
    <row r="482" spans="1:2">
      <c r="A482" s="1">
        <v>45322</v>
      </c>
      <c r="B482" s="6">
        <v>4.0036500000000004</v>
      </c>
    </row>
    <row r="483" spans="1:2">
      <c r="A483" s="1">
        <v>45351</v>
      </c>
      <c r="B483" s="6">
        <v>3.9935499999999999</v>
      </c>
    </row>
    <row r="484" spans="1:2">
      <c r="A484" s="1">
        <v>45382</v>
      </c>
      <c r="B484" s="6">
        <v>3.9892500000000002</v>
      </c>
    </row>
    <row r="485" spans="1:2">
      <c r="A485" s="1">
        <v>45412</v>
      </c>
      <c r="B485" s="6">
        <v>4.0626499999999997</v>
      </c>
    </row>
    <row r="486" spans="1:2">
      <c r="A486" s="1">
        <v>45443</v>
      </c>
      <c r="B486" s="6">
        <v>3.9391500000000002</v>
      </c>
    </row>
    <row r="487" spans="1:2">
      <c r="A487" s="1">
        <v>45473</v>
      </c>
      <c r="B487" s="6">
        <v>4.0250000000000004</v>
      </c>
    </row>
    <row r="488" spans="1:2">
      <c r="A488" s="1">
        <v>45504</v>
      </c>
      <c r="B488" s="6">
        <v>3.9621900000000001</v>
      </c>
    </row>
    <row r="489" spans="1:2">
      <c r="A489" s="1">
        <v>45535</v>
      </c>
      <c r="B489" s="6">
        <v>3.87392</v>
      </c>
    </row>
    <row r="490" spans="1:2">
      <c r="A490" s="1">
        <v>45565</v>
      </c>
      <c r="B490" s="6">
        <v>3.8450500000000001</v>
      </c>
    </row>
    <row r="491" spans="1:2">
      <c r="A491" s="1">
        <v>45596</v>
      </c>
      <c r="B491" s="6">
        <v>3.9982899999999999</v>
      </c>
    </row>
    <row r="492" spans="1:2">
      <c r="A492" s="1">
        <v>45626</v>
      </c>
      <c r="B492" s="6">
        <v>4.05877</v>
      </c>
    </row>
    <row r="493" spans="1:2">
      <c r="A493" s="1">
        <v>45657</v>
      </c>
      <c r="B493" s="6">
        <v>4.1299299999999999</v>
      </c>
    </row>
    <row r="494" spans="1:2">
      <c r="A494" s="1">
        <v>45688</v>
      </c>
      <c r="B494" s="6">
        <v>4.0667999999999997</v>
      </c>
    </row>
    <row r="495" spans="1:2">
      <c r="A495" s="1">
        <v>45716</v>
      </c>
      <c r="B495" s="6">
        <v>4.0442</v>
      </c>
    </row>
    <row r="496" spans="1:2">
      <c r="A496" s="1">
        <v>45747</v>
      </c>
      <c r="B496" s="6">
        <v>3.8686500000000001</v>
      </c>
    </row>
    <row r="497" spans="1:2">
      <c r="A497" s="1">
        <v>45777</v>
      </c>
      <c r="B497" s="6">
        <v>3.7758099999999999</v>
      </c>
    </row>
    <row r="498" spans="1:2">
      <c r="A498" s="1">
        <v>45808</v>
      </c>
      <c r="B498" s="6">
        <v>3.7600799999999999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09B99-3F0D-4347-B46D-9344AE0902C1}">
  <dimension ref="A1:B329"/>
  <sheetViews>
    <sheetView workbookViewId="0">
      <selection activeCell="G96" sqref="G96"/>
    </sheetView>
  </sheetViews>
  <sheetFormatPr defaultRowHeight="15"/>
  <cols>
    <col min="1" max="1" width="10.140625" bestFit="1" customWidth="1"/>
    <col min="2" max="2" width="11.42578125" bestFit="1" customWidth="1"/>
  </cols>
  <sheetData>
    <row r="1" spans="1:2">
      <c r="A1" t="s">
        <v>0</v>
      </c>
      <c r="B1" t="s">
        <v>625</v>
      </c>
    </row>
    <row r="2" spans="1:2">
      <c r="A2" s="1">
        <v>35826</v>
      </c>
      <c r="B2" s="11">
        <v>22091.1</v>
      </c>
    </row>
    <row r="3" spans="1:2">
      <c r="A3" s="1">
        <v>35854</v>
      </c>
      <c r="B3" s="11">
        <v>24279.3</v>
      </c>
    </row>
    <row r="4" spans="1:2">
      <c r="A4" s="1">
        <v>35885</v>
      </c>
      <c r="B4" s="11">
        <v>24400.6</v>
      </c>
    </row>
    <row r="5" spans="1:2">
      <c r="A5" s="1">
        <v>35915</v>
      </c>
      <c r="B5" s="11">
        <v>25922.9</v>
      </c>
    </row>
    <row r="6" spans="1:2">
      <c r="A6" s="1">
        <v>35946</v>
      </c>
      <c r="B6" s="11">
        <v>26286.1</v>
      </c>
    </row>
    <row r="7" spans="1:2">
      <c r="A7" s="1">
        <v>35976</v>
      </c>
      <c r="B7" s="11">
        <v>27120.799999999999</v>
      </c>
    </row>
    <row r="8" spans="1:2">
      <c r="A8" s="1">
        <v>36007</v>
      </c>
      <c r="B8" s="11">
        <v>29541.4</v>
      </c>
    </row>
    <row r="9" spans="1:2">
      <c r="A9" s="1">
        <v>36038</v>
      </c>
      <c r="B9" s="11">
        <v>29519.599999999999</v>
      </c>
    </row>
    <row r="10" spans="1:2">
      <c r="A10" s="1">
        <v>36068</v>
      </c>
      <c r="B10" s="11">
        <v>28104.6</v>
      </c>
    </row>
    <row r="11" spans="1:2">
      <c r="A11" s="1">
        <v>36099</v>
      </c>
      <c r="B11" s="11">
        <v>28516.9</v>
      </c>
    </row>
    <row r="12" spans="1:2">
      <c r="A12" s="1">
        <v>36129</v>
      </c>
      <c r="B12" s="11">
        <v>28660.799999999999</v>
      </c>
    </row>
    <row r="13" spans="1:2">
      <c r="A13" s="1">
        <v>36160</v>
      </c>
      <c r="B13" s="11">
        <v>28275.1</v>
      </c>
    </row>
    <row r="14" spans="1:2">
      <c r="A14" s="1">
        <v>36191</v>
      </c>
      <c r="B14" s="11">
        <v>29438</v>
      </c>
    </row>
    <row r="15" spans="1:2">
      <c r="A15" s="1">
        <v>36219</v>
      </c>
      <c r="B15" s="11">
        <v>29984.1</v>
      </c>
    </row>
    <row r="16" spans="1:2">
      <c r="A16" s="1">
        <v>36250</v>
      </c>
      <c r="B16" s="11">
        <v>28609.7</v>
      </c>
    </row>
    <row r="17" spans="1:2">
      <c r="A17" s="1">
        <v>36280</v>
      </c>
      <c r="B17" s="11">
        <v>28435.599999999999</v>
      </c>
    </row>
    <row r="18" spans="1:2">
      <c r="A18" s="1">
        <v>36311</v>
      </c>
      <c r="B18" s="11">
        <v>28036</v>
      </c>
    </row>
    <row r="19" spans="1:2">
      <c r="A19" s="1">
        <v>36341</v>
      </c>
      <c r="B19" s="11">
        <v>27384.1</v>
      </c>
    </row>
    <row r="20" spans="1:2">
      <c r="A20" s="1">
        <v>36372</v>
      </c>
      <c r="B20" s="11">
        <v>28744.9</v>
      </c>
    </row>
    <row r="21" spans="1:2">
      <c r="A21" s="1">
        <v>36403</v>
      </c>
      <c r="B21" s="11">
        <v>28761.3</v>
      </c>
    </row>
    <row r="22" spans="1:2">
      <c r="A22" s="1">
        <v>36433</v>
      </c>
      <c r="B22" s="11">
        <v>27892.400000000001</v>
      </c>
    </row>
    <row r="23" spans="1:2">
      <c r="A23" s="1">
        <v>36464</v>
      </c>
      <c r="B23" s="11">
        <v>27515.7</v>
      </c>
    </row>
    <row r="24" spans="1:2">
      <c r="A24" s="1">
        <v>36494</v>
      </c>
      <c r="B24" s="11">
        <v>27078.400000000001</v>
      </c>
    </row>
    <row r="25" spans="1:2">
      <c r="A25" s="1">
        <v>36525</v>
      </c>
      <c r="B25" s="11">
        <v>27313.599999999999</v>
      </c>
    </row>
    <row r="26" spans="1:2">
      <c r="A26" s="1">
        <v>36556</v>
      </c>
      <c r="B26" s="11">
        <v>26955.7</v>
      </c>
    </row>
    <row r="27" spans="1:2">
      <c r="A27" s="1">
        <v>36585</v>
      </c>
      <c r="B27" s="11">
        <v>26264.400000000001</v>
      </c>
    </row>
    <row r="28" spans="1:2">
      <c r="A28" s="1">
        <v>36616</v>
      </c>
      <c r="B28" s="11">
        <v>26240.3</v>
      </c>
    </row>
    <row r="29" spans="1:2">
      <c r="A29" s="1">
        <v>36646</v>
      </c>
      <c r="B29" s="11">
        <v>25501.200000000001</v>
      </c>
    </row>
    <row r="30" spans="1:2">
      <c r="A30" s="1">
        <v>36677</v>
      </c>
      <c r="B30" s="11">
        <v>25769.5</v>
      </c>
    </row>
    <row r="31" spans="1:2">
      <c r="A31" s="1">
        <v>36707</v>
      </c>
      <c r="B31" s="11">
        <v>25986.1</v>
      </c>
    </row>
    <row r="32" spans="1:2">
      <c r="A32" s="1">
        <v>36738</v>
      </c>
      <c r="B32" s="11">
        <v>25620.2</v>
      </c>
    </row>
    <row r="33" spans="1:2">
      <c r="A33" s="1">
        <v>36769</v>
      </c>
      <c r="B33" s="11">
        <v>25531</v>
      </c>
    </row>
    <row r="34" spans="1:2">
      <c r="A34" s="1">
        <v>36799</v>
      </c>
      <c r="B34" s="11">
        <v>25415.7</v>
      </c>
    </row>
    <row r="35" spans="1:2">
      <c r="A35" s="1">
        <v>36830</v>
      </c>
      <c r="B35" s="11">
        <v>26079.200000000001</v>
      </c>
    </row>
    <row r="36" spans="1:2">
      <c r="A36" s="1">
        <v>36860</v>
      </c>
      <c r="B36" s="11">
        <v>26543.4</v>
      </c>
    </row>
    <row r="37" spans="1:2">
      <c r="A37" s="1">
        <v>36891</v>
      </c>
      <c r="B37" s="11">
        <v>27465.8</v>
      </c>
    </row>
    <row r="38" spans="1:2">
      <c r="A38" s="1">
        <v>36922</v>
      </c>
      <c r="B38" s="11">
        <v>28107.9</v>
      </c>
    </row>
    <row r="39" spans="1:2">
      <c r="A39" s="1">
        <v>36950</v>
      </c>
      <c r="B39" s="11">
        <v>28715.9</v>
      </c>
    </row>
    <row r="40" spans="1:2">
      <c r="A40" s="1">
        <v>36981</v>
      </c>
      <c r="B40" s="11">
        <v>27998.3</v>
      </c>
    </row>
    <row r="41" spans="1:2">
      <c r="A41" s="1">
        <v>37011</v>
      </c>
      <c r="B41" s="11">
        <v>27739.3</v>
      </c>
    </row>
    <row r="42" spans="1:2">
      <c r="A42" s="1">
        <v>37042</v>
      </c>
      <c r="B42" s="11">
        <v>27045.4</v>
      </c>
    </row>
    <row r="43" spans="1:2">
      <c r="A43" s="1">
        <v>37072</v>
      </c>
      <c r="B43" s="11">
        <v>27113</v>
      </c>
    </row>
    <row r="44" spans="1:2">
      <c r="A44" s="1">
        <v>37103</v>
      </c>
      <c r="B44" s="11">
        <v>27844.3</v>
      </c>
    </row>
    <row r="45" spans="1:2">
      <c r="A45" s="1">
        <v>37134</v>
      </c>
      <c r="B45" s="11">
        <v>28032.3</v>
      </c>
    </row>
    <row r="46" spans="1:2">
      <c r="A46" s="1">
        <v>37164</v>
      </c>
      <c r="B46" s="11">
        <v>28300.1</v>
      </c>
    </row>
    <row r="47" spans="1:2">
      <c r="A47" s="1">
        <v>37195</v>
      </c>
      <c r="B47" s="11">
        <v>28899.7</v>
      </c>
    </row>
    <row r="48" spans="1:2">
      <c r="A48" s="1">
        <v>37225</v>
      </c>
      <c r="B48" s="11">
        <v>26126.7</v>
      </c>
    </row>
    <row r="49" spans="1:2">
      <c r="A49" s="1">
        <v>37256</v>
      </c>
      <c r="B49" s="11">
        <v>26563.9</v>
      </c>
    </row>
    <row r="50" spans="1:2">
      <c r="A50" s="1">
        <v>37287</v>
      </c>
      <c r="B50" s="11">
        <v>26343</v>
      </c>
    </row>
    <row r="51" spans="1:2">
      <c r="A51" s="1">
        <v>37315</v>
      </c>
      <c r="B51" s="11">
        <v>26445.200000000001</v>
      </c>
    </row>
    <row r="52" spans="1:2">
      <c r="A52" s="1">
        <v>37346</v>
      </c>
      <c r="B52" s="11">
        <v>27059.599999999999</v>
      </c>
    </row>
    <row r="53" spans="1:2">
      <c r="A53" s="1">
        <v>37376</v>
      </c>
      <c r="B53" s="11">
        <v>27224.7</v>
      </c>
    </row>
    <row r="54" spans="1:2">
      <c r="A54" s="1">
        <v>37407</v>
      </c>
      <c r="B54" s="11">
        <v>27525</v>
      </c>
    </row>
    <row r="55" spans="1:2">
      <c r="A55" s="1">
        <v>37437</v>
      </c>
      <c r="B55" s="11">
        <v>28163.8</v>
      </c>
    </row>
    <row r="56" spans="1:2">
      <c r="A56" s="1">
        <v>37468</v>
      </c>
      <c r="B56" s="11">
        <v>29301.4</v>
      </c>
    </row>
    <row r="57" spans="1:2">
      <c r="A57" s="1">
        <v>37499</v>
      </c>
      <c r="B57" s="11">
        <v>29376.2</v>
      </c>
    </row>
    <row r="58" spans="1:2">
      <c r="A58" s="1">
        <v>37529</v>
      </c>
      <c r="B58" s="11">
        <v>29265.5</v>
      </c>
    </row>
    <row r="59" spans="1:2">
      <c r="A59" s="1">
        <v>37560</v>
      </c>
      <c r="B59" s="11">
        <v>29246.7</v>
      </c>
    </row>
    <row r="60" spans="1:2">
      <c r="A60" s="1">
        <v>37590</v>
      </c>
      <c r="B60" s="11">
        <v>29515.3</v>
      </c>
    </row>
    <row r="61" spans="1:2">
      <c r="A61" s="1">
        <v>37621</v>
      </c>
      <c r="B61" s="11">
        <v>29794.400000000001</v>
      </c>
    </row>
    <row r="62" spans="1:2">
      <c r="A62" s="1">
        <v>37652</v>
      </c>
      <c r="B62" s="11">
        <v>30495.4</v>
      </c>
    </row>
    <row r="63" spans="1:2">
      <c r="A63" s="1">
        <v>37680</v>
      </c>
      <c r="B63" s="11">
        <v>31850.9</v>
      </c>
    </row>
    <row r="64" spans="1:2">
      <c r="A64" s="1">
        <v>37711</v>
      </c>
      <c r="B64" s="11">
        <v>31096.6</v>
      </c>
    </row>
    <row r="65" spans="1:2">
      <c r="A65" s="1">
        <v>37741</v>
      </c>
      <c r="B65" s="11">
        <v>31051.8</v>
      </c>
    </row>
    <row r="66" spans="1:2">
      <c r="A66" s="1">
        <v>37772</v>
      </c>
      <c r="B66" s="11">
        <v>33525.199999999997</v>
      </c>
    </row>
    <row r="67" spans="1:2">
      <c r="A67" s="1">
        <v>37802</v>
      </c>
      <c r="B67" s="11">
        <v>32083.9</v>
      </c>
    </row>
    <row r="68" spans="1:2">
      <c r="A68" s="1">
        <v>37833</v>
      </c>
      <c r="B68" s="11">
        <v>32030.6</v>
      </c>
    </row>
    <row r="69" spans="1:2">
      <c r="A69" s="1">
        <v>37864</v>
      </c>
      <c r="B69" s="11">
        <v>31699.4</v>
      </c>
    </row>
    <row r="70" spans="1:2">
      <c r="A70" s="1">
        <v>37894</v>
      </c>
      <c r="B70" s="11">
        <v>32897.9</v>
      </c>
    </row>
    <row r="71" spans="1:2">
      <c r="A71" s="1">
        <v>37925</v>
      </c>
      <c r="B71" s="11">
        <v>33778.199999999997</v>
      </c>
    </row>
    <row r="72" spans="1:2">
      <c r="A72" s="1">
        <v>37955</v>
      </c>
      <c r="B72" s="11">
        <v>34123.1</v>
      </c>
    </row>
    <row r="73" spans="1:2">
      <c r="A73" s="1">
        <v>37986</v>
      </c>
      <c r="B73" s="11">
        <v>34167.9</v>
      </c>
    </row>
    <row r="74" spans="1:2">
      <c r="A74" s="1">
        <v>38017</v>
      </c>
      <c r="B74" s="11">
        <v>37012.699999999997</v>
      </c>
    </row>
    <row r="75" spans="1:2">
      <c r="A75" s="1">
        <v>38046</v>
      </c>
      <c r="B75" s="11">
        <v>37637.799999999996</v>
      </c>
    </row>
    <row r="76" spans="1:2">
      <c r="A76" s="1">
        <v>38077</v>
      </c>
      <c r="B76" s="11">
        <v>36682.499999999993</v>
      </c>
    </row>
    <row r="77" spans="1:2">
      <c r="A77" s="1">
        <v>38107</v>
      </c>
      <c r="B77" s="11">
        <v>35547.9</v>
      </c>
    </row>
    <row r="78" spans="1:2">
      <c r="A78" s="1">
        <v>38138</v>
      </c>
      <c r="B78" s="11">
        <v>36563.599999999999</v>
      </c>
    </row>
    <row r="79" spans="1:2">
      <c r="A79" s="1">
        <v>38168</v>
      </c>
      <c r="B79" s="11">
        <v>36300.699999999997</v>
      </c>
    </row>
    <row r="80" spans="1:2">
      <c r="A80" s="1">
        <v>38199</v>
      </c>
      <c r="B80" s="11">
        <v>35889.800000000003</v>
      </c>
    </row>
    <row r="81" spans="1:2">
      <c r="A81" s="1">
        <v>38230</v>
      </c>
      <c r="B81" s="11">
        <v>36875.399999999994</v>
      </c>
    </row>
    <row r="82" spans="1:2">
      <c r="A82" s="1">
        <v>38260</v>
      </c>
      <c r="B82" s="11">
        <v>36648.1</v>
      </c>
    </row>
    <row r="83" spans="1:2">
      <c r="A83" s="1">
        <v>38291</v>
      </c>
      <c r="B83" s="11">
        <v>35548.400000000001</v>
      </c>
    </row>
    <row r="84" spans="1:2">
      <c r="A84" s="1">
        <v>38321</v>
      </c>
      <c r="B84" s="11">
        <v>37320.800000000003</v>
      </c>
    </row>
    <row r="85" spans="1:2">
      <c r="A85" s="1">
        <v>38352</v>
      </c>
      <c r="B85" s="11">
        <v>36783.100000000006</v>
      </c>
    </row>
    <row r="86" spans="1:2">
      <c r="A86" s="1">
        <v>38383</v>
      </c>
      <c r="B86" s="11">
        <v>40968.300000000003</v>
      </c>
    </row>
    <row r="87" spans="1:2">
      <c r="A87" s="1">
        <v>38411</v>
      </c>
      <c r="B87" s="11">
        <v>42535.8</v>
      </c>
    </row>
    <row r="88" spans="1:2">
      <c r="A88" s="1">
        <v>38442</v>
      </c>
      <c r="B88" s="11">
        <v>38220.800000000003</v>
      </c>
    </row>
    <row r="89" spans="1:2">
      <c r="A89" s="1">
        <v>38472</v>
      </c>
      <c r="B89" s="11">
        <v>40773.599999999999</v>
      </c>
    </row>
    <row r="90" spans="1:2">
      <c r="A90" s="1">
        <v>38503</v>
      </c>
      <c r="B90" s="11">
        <v>40638</v>
      </c>
    </row>
    <row r="91" spans="1:2">
      <c r="A91" s="1">
        <v>38533</v>
      </c>
      <c r="B91" s="11">
        <v>41237.200000000004</v>
      </c>
    </row>
    <row r="92" spans="1:2">
      <c r="A92" s="1">
        <v>38564</v>
      </c>
      <c r="B92" s="11">
        <v>40801.4</v>
      </c>
    </row>
    <row r="93" spans="1:2">
      <c r="A93" s="1">
        <v>38595</v>
      </c>
      <c r="B93" s="11">
        <v>41338.400000000001</v>
      </c>
    </row>
    <row r="94" spans="1:2">
      <c r="A94" s="1">
        <v>38625</v>
      </c>
      <c r="B94" s="11">
        <v>41054.700000000004</v>
      </c>
    </row>
    <row r="95" spans="1:2">
      <c r="A95" s="1">
        <v>38656</v>
      </c>
      <c r="B95" s="11">
        <v>41679.5</v>
      </c>
    </row>
    <row r="96" spans="1:2">
      <c r="A96" s="1">
        <v>38686</v>
      </c>
      <c r="B96" s="11">
        <v>41440.6</v>
      </c>
    </row>
    <row r="97" spans="1:2">
      <c r="A97" s="1">
        <v>38717</v>
      </c>
      <c r="B97" s="11">
        <v>42571.199999999997</v>
      </c>
    </row>
    <row r="98" spans="1:2">
      <c r="A98" s="1">
        <v>38748</v>
      </c>
      <c r="B98" s="11">
        <v>43202.1</v>
      </c>
    </row>
    <row r="99" spans="1:2">
      <c r="A99" s="1">
        <v>38776</v>
      </c>
      <c r="B99" s="11">
        <v>45506.799999999996</v>
      </c>
    </row>
    <row r="100" spans="1:2">
      <c r="A100" s="1">
        <v>38807</v>
      </c>
      <c r="B100" s="11">
        <v>44269.8</v>
      </c>
    </row>
    <row r="101" spans="1:2">
      <c r="A101" s="1">
        <v>38837</v>
      </c>
      <c r="B101" s="11">
        <v>45397.799999999996</v>
      </c>
    </row>
    <row r="102" spans="1:2">
      <c r="A102" s="1">
        <v>38868</v>
      </c>
      <c r="B102" s="11">
        <v>48529.3</v>
      </c>
    </row>
    <row r="103" spans="1:2">
      <c r="A103" s="1">
        <v>38898</v>
      </c>
      <c r="B103" s="11">
        <v>46918.3</v>
      </c>
    </row>
    <row r="104" spans="1:2">
      <c r="A104" s="1">
        <v>38929</v>
      </c>
      <c r="B104" s="11">
        <v>48428.500000000007</v>
      </c>
    </row>
    <row r="105" spans="1:2">
      <c r="A105" s="1">
        <v>38960</v>
      </c>
      <c r="B105" s="11">
        <v>48713.000000000007</v>
      </c>
    </row>
    <row r="106" spans="1:2">
      <c r="A106" s="1">
        <v>38990</v>
      </c>
      <c r="B106" s="11">
        <v>48694.700000000004</v>
      </c>
    </row>
    <row r="107" spans="1:2">
      <c r="A107" s="1">
        <v>39021</v>
      </c>
      <c r="B107" s="11">
        <v>47175.100000000006</v>
      </c>
    </row>
    <row r="108" spans="1:2">
      <c r="A108" s="1">
        <v>39051</v>
      </c>
      <c r="B108" s="11">
        <v>49483.200000000004</v>
      </c>
    </row>
    <row r="109" spans="1:2">
      <c r="A109" s="1">
        <v>39082</v>
      </c>
      <c r="B109" s="11">
        <v>48484.3</v>
      </c>
    </row>
    <row r="110" spans="1:2">
      <c r="A110" s="1">
        <v>39113</v>
      </c>
      <c r="B110" s="11">
        <v>51211.899999999994</v>
      </c>
    </row>
    <row r="111" spans="1:2">
      <c r="A111" s="1">
        <v>39141</v>
      </c>
      <c r="B111" s="11">
        <v>50984.700000000004</v>
      </c>
    </row>
    <row r="112" spans="1:2">
      <c r="A112" s="1">
        <v>39172</v>
      </c>
      <c r="B112" s="11">
        <v>50784.7</v>
      </c>
    </row>
    <row r="113" spans="1:2">
      <c r="A113" s="1">
        <v>39202</v>
      </c>
      <c r="B113" s="11">
        <v>52077.899999999994</v>
      </c>
    </row>
    <row r="114" spans="1:2">
      <c r="A114" s="1">
        <v>39233</v>
      </c>
      <c r="B114" s="11">
        <v>55166.2</v>
      </c>
    </row>
    <row r="115" spans="1:2">
      <c r="A115" s="1">
        <v>39263</v>
      </c>
      <c r="B115" s="11">
        <v>54441.1</v>
      </c>
    </row>
    <row r="116" spans="1:2">
      <c r="A116" s="1">
        <v>39294</v>
      </c>
      <c r="B116" s="11">
        <v>56095.899999999994</v>
      </c>
    </row>
    <row r="117" spans="1:2">
      <c r="A117" s="1">
        <v>39325</v>
      </c>
      <c r="B117" s="11">
        <v>56213.500000000007</v>
      </c>
    </row>
    <row r="118" spans="1:2">
      <c r="A118" s="1">
        <v>39355</v>
      </c>
      <c r="B118" s="11">
        <v>58311.5</v>
      </c>
    </row>
    <row r="119" spans="1:2">
      <c r="A119" s="1">
        <v>39386</v>
      </c>
      <c r="B119" s="11">
        <v>60128.9</v>
      </c>
    </row>
    <row r="120" spans="1:2">
      <c r="A120" s="1">
        <v>39416</v>
      </c>
      <c r="B120" s="11">
        <v>68218.2</v>
      </c>
    </row>
    <row r="121" spans="1:2">
      <c r="A121" s="1">
        <v>39447</v>
      </c>
      <c r="B121" s="11">
        <v>65745.400000000009</v>
      </c>
    </row>
    <row r="122" spans="1:2">
      <c r="A122" s="1">
        <v>39478</v>
      </c>
      <c r="B122" s="11">
        <v>68564.399999999994</v>
      </c>
    </row>
    <row r="123" spans="1:2">
      <c r="A123" s="1">
        <v>39507</v>
      </c>
      <c r="B123" s="11">
        <v>72505</v>
      </c>
    </row>
    <row r="124" spans="1:2">
      <c r="A124" s="1">
        <v>39538</v>
      </c>
      <c r="B124" s="11">
        <v>76965.600000000006</v>
      </c>
    </row>
    <row r="125" spans="1:2">
      <c r="A125" s="1">
        <v>39568</v>
      </c>
      <c r="B125" s="11">
        <v>79084.100000000006</v>
      </c>
    </row>
    <row r="126" spans="1:2">
      <c r="A126" s="1">
        <v>39599</v>
      </c>
      <c r="B126" s="11">
        <v>78900.5</v>
      </c>
    </row>
    <row r="127" spans="1:2">
      <c r="A127" s="1">
        <v>39629</v>
      </c>
      <c r="B127" s="11">
        <v>82544.100000000006</v>
      </c>
    </row>
    <row r="128" spans="1:2">
      <c r="A128" s="1">
        <v>39660</v>
      </c>
      <c r="B128" s="11">
        <v>84961.2</v>
      </c>
    </row>
    <row r="129" spans="1:2">
      <c r="A129" s="1">
        <v>39691</v>
      </c>
      <c r="B129" s="11">
        <v>81599.399999999994</v>
      </c>
    </row>
    <row r="130" spans="1:2">
      <c r="A130" s="1">
        <v>39721</v>
      </c>
      <c r="B130" s="11">
        <v>74226.100000000006</v>
      </c>
    </row>
    <row r="131" spans="1:2">
      <c r="A131" s="1">
        <v>39752</v>
      </c>
      <c r="B131" s="11">
        <v>63847</v>
      </c>
    </row>
    <row r="132" spans="1:2">
      <c r="A132" s="1">
        <v>39782</v>
      </c>
      <c r="B132" s="11">
        <v>63392</v>
      </c>
    </row>
    <row r="133" spans="1:2">
      <c r="A133" s="1">
        <v>39813</v>
      </c>
      <c r="B133" s="11">
        <v>62180.100000000006</v>
      </c>
    </row>
    <row r="134" spans="1:2">
      <c r="A134" s="1">
        <v>39844</v>
      </c>
      <c r="B134" s="11">
        <v>59251.7</v>
      </c>
    </row>
    <row r="135" spans="1:2">
      <c r="A135" s="1">
        <v>39872</v>
      </c>
      <c r="B135" s="11">
        <v>61895.7</v>
      </c>
    </row>
    <row r="136" spans="1:2">
      <c r="A136" s="1">
        <v>39903</v>
      </c>
      <c r="B136" s="11">
        <v>61251</v>
      </c>
    </row>
    <row r="137" spans="1:2">
      <c r="A137" s="1">
        <v>39933</v>
      </c>
      <c r="B137" s="11">
        <v>64088.600000000006</v>
      </c>
    </row>
    <row r="138" spans="1:2">
      <c r="A138" s="1">
        <v>39964</v>
      </c>
      <c r="B138" s="11">
        <v>67906.5</v>
      </c>
    </row>
    <row r="139" spans="1:2">
      <c r="A139" s="1">
        <v>39994</v>
      </c>
      <c r="B139" s="11">
        <v>67118.7</v>
      </c>
    </row>
    <row r="140" spans="1:2">
      <c r="A140" s="1">
        <v>40025</v>
      </c>
      <c r="B140" s="11">
        <v>71527.799999999988</v>
      </c>
    </row>
    <row r="141" spans="1:2">
      <c r="A141" s="1">
        <v>40056</v>
      </c>
      <c r="B141" s="11">
        <v>75817.399999999994</v>
      </c>
    </row>
    <row r="142" spans="1:2">
      <c r="A142" s="1">
        <v>40086</v>
      </c>
      <c r="B142" s="11">
        <v>78164.599999999991</v>
      </c>
    </row>
    <row r="143" spans="1:2">
      <c r="A143" s="1">
        <v>40117</v>
      </c>
      <c r="B143" s="11">
        <v>83677.5</v>
      </c>
    </row>
    <row r="144" spans="1:2">
      <c r="A144" s="1">
        <v>40147</v>
      </c>
      <c r="B144" s="11">
        <v>85100.3</v>
      </c>
    </row>
    <row r="145" spans="1:2">
      <c r="A145" s="1">
        <v>40178</v>
      </c>
      <c r="B145" s="11">
        <v>79591.299999999988</v>
      </c>
    </row>
    <row r="146" spans="1:2">
      <c r="A146" s="1">
        <v>40209</v>
      </c>
      <c r="B146" s="11">
        <v>85087</v>
      </c>
    </row>
    <row r="147" spans="1:2">
      <c r="A147" s="1">
        <v>40237</v>
      </c>
      <c r="B147" s="11">
        <v>85143.699999999983</v>
      </c>
    </row>
    <row r="148" spans="1:2">
      <c r="A148" s="1">
        <v>40268</v>
      </c>
      <c r="B148" s="11">
        <v>85232.1</v>
      </c>
    </row>
    <row r="149" spans="1:2">
      <c r="A149" s="1">
        <v>40298</v>
      </c>
      <c r="B149" s="11">
        <v>88576.8</v>
      </c>
    </row>
    <row r="150" spans="1:2">
      <c r="A150" s="1">
        <v>40329</v>
      </c>
      <c r="B150" s="11">
        <v>86493.3</v>
      </c>
    </row>
    <row r="151" spans="1:2">
      <c r="A151" s="1">
        <v>40359</v>
      </c>
      <c r="B151" s="11">
        <v>85459.3</v>
      </c>
    </row>
    <row r="152" spans="1:2">
      <c r="A152" s="1">
        <v>40390</v>
      </c>
      <c r="B152" s="11">
        <v>93153.499999999985</v>
      </c>
    </row>
    <row r="153" spans="1:2">
      <c r="A153" s="1">
        <v>40421</v>
      </c>
      <c r="B153" s="11">
        <v>93077</v>
      </c>
    </row>
    <row r="154" spans="1:2">
      <c r="A154" s="1">
        <v>40451</v>
      </c>
      <c r="B154" s="11">
        <v>98640.400000000009</v>
      </c>
    </row>
    <row r="155" spans="1:2">
      <c r="A155" s="1">
        <v>40482</v>
      </c>
      <c r="B155" s="11">
        <v>99721.7</v>
      </c>
    </row>
    <row r="156" spans="1:2">
      <c r="A156" s="1">
        <v>40512</v>
      </c>
      <c r="B156" s="11">
        <v>96563.7</v>
      </c>
    </row>
    <row r="157" spans="1:2">
      <c r="A157" s="1">
        <v>40543</v>
      </c>
      <c r="B157" s="11">
        <v>93514.400000000009</v>
      </c>
    </row>
    <row r="158" spans="1:2">
      <c r="A158" s="1">
        <v>40574</v>
      </c>
      <c r="B158" s="11">
        <v>95743.400000000009</v>
      </c>
    </row>
    <row r="159" spans="1:2">
      <c r="A159" s="1">
        <v>40602</v>
      </c>
      <c r="B159" s="11">
        <v>103534.20000000001</v>
      </c>
    </row>
    <row r="160" spans="1:2">
      <c r="A160" s="1">
        <v>40633</v>
      </c>
      <c r="B160" s="11">
        <v>106631</v>
      </c>
    </row>
    <row r="161" spans="1:2">
      <c r="A161" s="1">
        <v>40663</v>
      </c>
      <c r="B161" s="11">
        <v>111988.29999999999</v>
      </c>
    </row>
    <row r="162" spans="1:2">
      <c r="A162" s="1">
        <v>40694</v>
      </c>
      <c r="B162" s="11">
        <v>107608.3</v>
      </c>
    </row>
    <row r="163" spans="1:2">
      <c r="A163" s="1">
        <v>40724</v>
      </c>
      <c r="B163" s="11">
        <v>109146.20000000001</v>
      </c>
    </row>
    <row r="164" spans="1:2">
      <c r="A164" s="1">
        <v>40755</v>
      </c>
      <c r="B164" s="11">
        <v>106666.7</v>
      </c>
    </row>
    <row r="165" spans="1:2">
      <c r="A165" s="1">
        <v>40786</v>
      </c>
      <c r="B165" s="11">
        <v>106991.09999999999</v>
      </c>
    </row>
    <row r="166" spans="1:2">
      <c r="A166" s="1">
        <v>40816</v>
      </c>
      <c r="B166" s="11">
        <v>100340</v>
      </c>
    </row>
    <row r="167" spans="1:2">
      <c r="A167" s="1">
        <v>40847</v>
      </c>
      <c r="B167" s="11">
        <v>102681.1</v>
      </c>
    </row>
    <row r="168" spans="1:2">
      <c r="A168" s="1">
        <v>40877</v>
      </c>
      <c r="B168" s="11">
        <v>98665.1</v>
      </c>
    </row>
    <row r="169" spans="1:2">
      <c r="A169" s="1">
        <v>40908</v>
      </c>
      <c r="B169" s="11">
        <v>97866</v>
      </c>
    </row>
    <row r="170" spans="1:2">
      <c r="A170" s="1">
        <v>40939</v>
      </c>
      <c r="B170" s="11">
        <v>100319</v>
      </c>
    </row>
    <row r="171" spans="1:2">
      <c r="A171" s="1">
        <v>40968</v>
      </c>
      <c r="B171" s="11">
        <v>101894.2</v>
      </c>
    </row>
    <row r="172" spans="1:2">
      <c r="A172" s="1">
        <v>40999</v>
      </c>
      <c r="B172" s="11">
        <v>99726.6</v>
      </c>
    </row>
    <row r="173" spans="1:2">
      <c r="A173" s="1">
        <v>41029</v>
      </c>
      <c r="B173" s="11">
        <v>102808.9</v>
      </c>
    </row>
    <row r="174" spans="1:2">
      <c r="A174" s="1">
        <v>41060</v>
      </c>
      <c r="B174" s="11">
        <v>98214.699999999983</v>
      </c>
    </row>
    <row r="175" spans="1:2">
      <c r="A175" s="1">
        <v>41090</v>
      </c>
      <c r="B175" s="11">
        <v>101388.09999999999</v>
      </c>
    </row>
    <row r="176" spans="1:2">
      <c r="A176" s="1">
        <v>41121</v>
      </c>
      <c r="B176" s="11">
        <v>102279.20000000001</v>
      </c>
    </row>
    <row r="177" spans="1:2">
      <c r="A177" s="1">
        <v>41152</v>
      </c>
      <c r="B177" s="11">
        <v>103523.90000000001</v>
      </c>
    </row>
    <row r="178" spans="1:2">
      <c r="A178" s="1">
        <v>41182</v>
      </c>
      <c r="B178" s="11">
        <v>105768.09999999999</v>
      </c>
    </row>
    <row r="179" spans="1:2">
      <c r="A179" s="1">
        <v>41213</v>
      </c>
      <c r="B179" s="11">
        <v>105931.3</v>
      </c>
    </row>
    <row r="180" spans="1:2">
      <c r="A180" s="1">
        <v>41243</v>
      </c>
      <c r="B180" s="11">
        <v>107533.5</v>
      </c>
    </row>
    <row r="181" spans="1:2">
      <c r="A181" s="1">
        <v>41274</v>
      </c>
      <c r="B181" s="11">
        <v>108914.6</v>
      </c>
    </row>
    <row r="182" spans="1:2">
      <c r="A182" s="1">
        <v>41305</v>
      </c>
      <c r="B182" s="11">
        <v>108004.70000000001</v>
      </c>
    </row>
    <row r="183" spans="1:2">
      <c r="A183" s="1">
        <v>41333</v>
      </c>
      <c r="B183" s="11">
        <v>107091.1</v>
      </c>
    </row>
    <row r="184" spans="1:2">
      <c r="A184" s="1">
        <v>41364</v>
      </c>
      <c r="B184" s="11">
        <v>108869.5</v>
      </c>
    </row>
    <row r="185" spans="1:2">
      <c r="A185" s="1">
        <v>41394</v>
      </c>
      <c r="B185" s="11">
        <v>109094.1</v>
      </c>
    </row>
    <row r="186" spans="1:2">
      <c r="A186" s="1">
        <v>41425</v>
      </c>
      <c r="B186" s="11">
        <v>110226.90000000001</v>
      </c>
    </row>
    <row r="187" spans="1:2">
      <c r="A187" s="1">
        <v>41455</v>
      </c>
      <c r="B187" s="11">
        <v>106914.99999999999</v>
      </c>
    </row>
    <row r="188" spans="1:2">
      <c r="A188" s="1">
        <v>41486</v>
      </c>
      <c r="B188" s="11">
        <v>110129.59999999999</v>
      </c>
    </row>
    <row r="189" spans="1:2">
      <c r="A189" s="1">
        <v>41517</v>
      </c>
      <c r="B189" s="11">
        <v>109391</v>
      </c>
    </row>
    <row r="190" spans="1:2">
      <c r="A190" s="1">
        <v>41547</v>
      </c>
      <c r="B190" s="11">
        <v>106862.5</v>
      </c>
    </row>
    <row r="191" spans="1:2">
      <c r="A191" s="1">
        <v>41578</v>
      </c>
      <c r="B191" s="11">
        <v>105544</v>
      </c>
    </row>
    <row r="192" spans="1:2">
      <c r="A192" s="1">
        <v>41608</v>
      </c>
      <c r="B192" s="11">
        <v>107048</v>
      </c>
    </row>
    <row r="193" spans="1:2">
      <c r="A193" s="1">
        <v>41639</v>
      </c>
      <c r="B193" s="11">
        <v>106219.49999999999</v>
      </c>
    </row>
    <row r="194" spans="1:2">
      <c r="A194" s="1">
        <v>41670</v>
      </c>
      <c r="B194" s="11">
        <v>106322.5</v>
      </c>
    </row>
    <row r="195" spans="1:2">
      <c r="A195" s="1">
        <v>41698</v>
      </c>
      <c r="B195" s="11">
        <v>104407.1</v>
      </c>
    </row>
    <row r="196" spans="1:2">
      <c r="A196" s="1">
        <v>41729</v>
      </c>
      <c r="B196" s="11">
        <v>102846.40000000001</v>
      </c>
    </row>
    <row r="197" spans="1:2">
      <c r="A197" s="1">
        <v>41759</v>
      </c>
      <c r="B197" s="11">
        <v>102465.7</v>
      </c>
    </row>
    <row r="198" spans="1:2">
      <c r="A198" s="1">
        <v>41790</v>
      </c>
      <c r="B198" s="11">
        <v>102731.2</v>
      </c>
    </row>
    <row r="199" spans="1:2">
      <c r="A199" s="1">
        <v>41820</v>
      </c>
      <c r="B199" s="11">
        <v>101951.3</v>
      </c>
    </row>
    <row r="200" spans="1:2">
      <c r="A200" s="1">
        <v>41851</v>
      </c>
      <c r="B200" s="11">
        <v>103480.3</v>
      </c>
    </row>
    <row r="201" spans="1:2">
      <c r="A201" s="1">
        <v>41882</v>
      </c>
      <c r="B201" s="11">
        <v>101971.6</v>
      </c>
    </row>
    <row r="202" spans="1:2">
      <c r="A202" s="1">
        <v>41912</v>
      </c>
      <c r="B202" s="11">
        <v>101722.29999999999</v>
      </c>
    </row>
    <row r="203" spans="1:2">
      <c r="A203" s="1">
        <v>41943</v>
      </c>
      <c r="B203" s="11">
        <v>100122.6</v>
      </c>
    </row>
    <row r="204" spans="1:2">
      <c r="A204" s="1">
        <v>41973</v>
      </c>
      <c r="B204" s="11">
        <v>100393.9</v>
      </c>
    </row>
    <row r="205" spans="1:2">
      <c r="A205" s="1">
        <v>42004</v>
      </c>
      <c r="B205" s="11">
        <v>100438.2</v>
      </c>
    </row>
    <row r="206" spans="1:2">
      <c r="A206" s="1">
        <v>42035</v>
      </c>
      <c r="B206" s="11">
        <v>99461.8</v>
      </c>
    </row>
    <row r="207" spans="1:2">
      <c r="A207" s="1">
        <v>42063</v>
      </c>
      <c r="B207" s="11">
        <v>97509.099999999991</v>
      </c>
    </row>
    <row r="208" spans="1:2">
      <c r="A208" s="1">
        <v>42094</v>
      </c>
      <c r="B208" s="11">
        <v>97126.3</v>
      </c>
    </row>
    <row r="209" spans="1:2">
      <c r="A209" s="1">
        <v>42124</v>
      </c>
      <c r="B209" s="11">
        <v>102917.9</v>
      </c>
    </row>
    <row r="210" spans="1:2">
      <c r="A210" s="1">
        <v>42155</v>
      </c>
      <c r="B210" s="11">
        <v>102921.3</v>
      </c>
    </row>
    <row r="211" spans="1:2">
      <c r="A211" s="1">
        <v>42185</v>
      </c>
      <c r="B211" s="11">
        <v>104060.5</v>
      </c>
    </row>
    <row r="212" spans="1:2">
      <c r="A212" s="1">
        <v>42216</v>
      </c>
      <c r="B212" s="11">
        <v>98672.2</v>
      </c>
    </row>
    <row r="213" spans="1:2">
      <c r="A213" s="1">
        <v>42247</v>
      </c>
      <c r="B213" s="11">
        <v>98743.599999999991</v>
      </c>
    </row>
    <row r="214" spans="1:2">
      <c r="A214" s="1">
        <v>42277</v>
      </c>
      <c r="B214" s="11">
        <v>101470.00000000001</v>
      </c>
    </row>
    <row r="215" spans="1:2">
      <c r="A215" s="1">
        <v>42308</v>
      </c>
      <c r="B215" s="11">
        <v>100781.79999999999</v>
      </c>
    </row>
    <row r="216" spans="1:2">
      <c r="A216" s="1">
        <v>42338</v>
      </c>
      <c r="B216" s="11">
        <v>98044.499999999985</v>
      </c>
    </row>
    <row r="217" spans="1:2">
      <c r="A217" s="1">
        <v>42369</v>
      </c>
      <c r="B217" s="11">
        <v>94921.1</v>
      </c>
    </row>
    <row r="218" spans="1:2">
      <c r="A218" s="1">
        <v>42400</v>
      </c>
      <c r="B218" s="11">
        <v>99744.8</v>
      </c>
    </row>
    <row r="219" spans="1:2">
      <c r="A219" s="1">
        <v>42429</v>
      </c>
      <c r="B219" s="11">
        <v>98895.799999999988</v>
      </c>
    </row>
    <row r="220" spans="1:2">
      <c r="A220" s="1">
        <v>42460</v>
      </c>
      <c r="B220" s="11">
        <v>100530.7</v>
      </c>
    </row>
    <row r="221" spans="1:2">
      <c r="A221" s="1">
        <v>42490</v>
      </c>
      <c r="B221" s="11">
        <v>105003.59999999999</v>
      </c>
    </row>
    <row r="222" spans="1:2">
      <c r="A222" s="1">
        <v>42521</v>
      </c>
      <c r="B222" s="11">
        <v>108016</v>
      </c>
    </row>
    <row r="223" spans="1:2">
      <c r="A223" s="1">
        <v>42551</v>
      </c>
      <c r="B223" s="11">
        <v>110267.1</v>
      </c>
    </row>
    <row r="224" spans="1:2">
      <c r="A224" s="1">
        <v>42582</v>
      </c>
      <c r="B224" s="11">
        <v>109023.8</v>
      </c>
    </row>
    <row r="225" spans="1:2">
      <c r="A225" s="1">
        <v>42613</v>
      </c>
      <c r="B225" s="11">
        <v>110015.9</v>
      </c>
    </row>
    <row r="226" spans="1:2">
      <c r="A226" s="1">
        <v>42643</v>
      </c>
      <c r="B226" s="11">
        <v>111918.8</v>
      </c>
    </row>
    <row r="227" spans="1:2">
      <c r="A227" s="1">
        <v>42674</v>
      </c>
      <c r="B227" s="11">
        <v>113029.8</v>
      </c>
    </row>
    <row r="228" spans="1:2">
      <c r="A228" s="1">
        <v>42704</v>
      </c>
      <c r="B228" s="11">
        <v>110843.09999999999</v>
      </c>
    </row>
    <row r="229" spans="1:2">
      <c r="A229" s="1">
        <v>42735</v>
      </c>
      <c r="B229" s="11">
        <v>114391.6</v>
      </c>
    </row>
    <row r="230" spans="1:2">
      <c r="A230" s="1">
        <v>42766</v>
      </c>
      <c r="B230" s="11">
        <v>113695</v>
      </c>
    </row>
    <row r="231" spans="1:2">
      <c r="A231" s="1">
        <v>42794</v>
      </c>
      <c r="B231" s="11">
        <v>110809</v>
      </c>
    </row>
    <row r="232" spans="1:2">
      <c r="A232" s="1">
        <v>42825</v>
      </c>
      <c r="B232" s="11">
        <v>111985</v>
      </c>
    </row>
    <row r="233" spans="1:2">
      <c r="A233" s="1">
        <v>42855</v>
      </c>
      <c r="B233" s="11">
        <v>109417.9</v>
      </c>
    </row>
    <row r="234" spans="1:2">
      <c r="A234" s="1">
        <v>42886</v>
      </c>
      <c r="B234" s="11">
        <v>109717.09999999999</v>
      </c>
    </row>
    <row r="235" spans="1:2">
      <c r="A235" s="1">
        <v>42916</v>
      </c>
      <c r="B235" s="11">
        <v>111723.1</v>
      </c>
    </row>
    <row r="236" spans="1:2">
      <c r="A236" s="1">
        <v>42947</v>
      </c>
      <c r="B236" s="11">
        <v>109785.5</v>
      </c>
    </row>
    <row r="237" spans="1:2">
      <c r="A237" s="1">
        <v>42978</v>
      </c>
      <c r="B237" s="11">
        <v>109682.2</v>
      </c>
    </row>
    <row r="238" spans="1:2">
      <c r="A238" s="1">
        <v>43008</v>
      </c>
      <c r="B238" s="11">
        <v>111350.7</v>
      </c>
    </row>
    <row r="239" spans="1:2">
      <c r="A239" s="1">
        <v>43039</v>
      </c>
      <c r="B239" s="11">
        <v>110639</v>
      </c>
    </row>
    <row r="240" spans="1:2">
      <c r="A240" s="1">
        <v>43069</v>
      </c>
      <c r="B240" s="11">
        <v>113377.40000000001</v>
      </c>
    </row>
    <row r="241" spans="1:2">
      <c r="A241" s="1">
        <v>43100</v>
      </c>
      <c r="B241" s="11">
        <v>113278.90000000001</v>
      </c>
    </row>
    <row r="242" spans="1:2">
      <c r="A242" s="1">
        <v>43131</v>
      </c>
      <c r="B242" s="11">
        <v>117539.59999999999</v>
      </c>
    </row>
    <row r="243" spans="1:2">
      <c r="A243" s="1">
        <v>43159</v>
      </c>
      <c r="B243" s="11">
        <v>116050.2</v>
      </c>
    </row>
    <row r="244" spans="1:2">
      <c r="A244" s="1">
        <v>43190</v>
      </c>
      <c r="B244" s="11">
        <v>119470.3</v>
      </c>
    </row>
    <row r="245" spans="1:2">
      <c r="A245" s="1">
        <v>43220</v>
      </c>
      <c r="B245" s="11">
        <v>113227.6</v>
      </c>
    </row>
    <row r="246" spans="1:2">
      <c r="A246" s="1">
        <v>43251</v>
      </c>
      <c r="B246" s="11">
        <v>111759.2</v>
      </c>
    </row>
    <row r="247" spans="1:2">
      <c r="A247" s="1">
        <v>43281</v>
      </c>
      <c r="B247" s="11">
        <v>108969.5</v>
      </c>
    </row>
    <row r="248" spans="1:2">
      <c r="A248" s="1">
        <v>43312</v>
      </c>
      <c r="B248" s="11">
        <v>112146</v>
      </c>
    </row>
    <row r="249" spans="1:2">
      <c r="A249" s="1">
        <v>43343</v>
      </c>
      <c r="B249" s="11">
        <v>113263</v>
      </c>
    </row>
    <row r="250" spans="1:2">
      <c r="A250" s="1">
        <v>43373</v>
      </c>
      <c r="B250" s="11">
        <v>112880.2</v>
      </c>
    </row>
    <row r="251" spans="1:2">
      <c r="A251" s="1">
        <v>43404</v>
      </c>
      <c r="B251" s="11">
        <v>111416.50000000001</v>
      </c>
    </row>
    <row r="252" spans="1:2">
      <c r="A252" s="1">
        <v>43434</v>
      </c>
      <c r="B252" s="11">
        <v>113835</v>
      </c>
    </row>
    <row r="253" spans="1:2">
      <c r="A253" s="1">
        <v>43465</v>
      </c>
      <c r="B253" s="11">
        <v>116964.6</v>
      </c>
    </row>
    <row r="254" spans="1:2">
      <c r="A254" s="1">
        <v>43496</v>
      </c>
      <c r="B254" s="11">
        <v>113676.2</v>
      </c>
    </row>
    <row r="255" spans="1:2">
      <c r="A255" s="1">
        <v>43524</v>
      </c>
      <c r="B255" s="11">
        <v>112485.70000000001</v>
      </c>
    </row>
    <row r="256" spans="1:2">
      <c r="A256" s="1">
        <v>43555</v>
      </c>
      <c r="B256" s="11">
        <v>112943.09999999999</v>
      </c>
    </row>
    <row r="257" spans="1:2">
      <c r="A257" s="1">
        <v>43585</v>
      </c>
      <c r="B257" s="11">
        <v>117016.7</v>
      </c>
    </row>
    <row r="258" spans="1:2">
      <c r="A258" s="1">
        <v>43616</v>
      </c>
      <c r="B258" s="11">
        <v>118619.2</v>
      </c>
    </row>
    <row r="259" spans="1:2">
      <c r="A259" s="1">
        <v>43646</v>
      </c>
      <c r="B259" s="11">
        <v>117801.09999999999</v>
      </c>
    </row>
    <row r="260" spans="1:2">
      <c r="A260" s="1">
        <v>43677</v>
      </c>
      <c r="B260" s="11">
        <v>116528.9</v>
      </c>
    </row>
    <row r="261" spans="1:2">
      <c r="A261" s="1">
        <v>43708</v>
      </c>
      <c r="B261" s="11">
        <v>116609</v>
      </c>
    </row>
    <row r="262" spans="1:2">
      <c r="A262" s="1">
        <v>43738</v>
      </c>
      <c r="B262" s="11">
        <v>120872</v>
      </c>
    </row>
    <row r="263" spans="1:2">
      <c r="A263" s="1">
        <v>43769</v>
      </c>
      <c r="B263" s="11">
        <v>121900.59999999999</v>
      </c>
    </row>
    <row r="264" spans="1:2">
      <c r="A264" s="1">
        <v>43799</v>
      </c>
      <c r="B264" s="11">
        <v>119829.4</v>
      </c>
    </row>
    <row r="265" spans="1:2">
      <c r="A265" s="1">
        <v>43830</v>
      </c>
      <c r="B265" s="11">
        <v>128405</v>
      </c>
    </row>
    <row r="266" spans="1:2">
      <c r="A266" s="1">
        <v>43861</v>
      </c>
      <c r="B266" s="11">
        <v>125457.1</v>
      </c>
    </row>
    <row r="267" spans="1:2">
      <c r="A267" s="1">
        <v>43890</v>
      </c>
      <c r="B267" s="11">
        <v>128182.1</v>
      </c>
    </row>
    <row r="268" spans="1:2">
      <c r="A268" s="1">
        <v>43921</v>
      </c>
      <c r="B268" s="11">
        <v>120893.6</v>
      </c>
    </row>
    <row r="269" spans="1:2">
      <c r="A269" s="1">
        <v>43951</v>
      </c>
      <c r="B269" s="11">
        <v>118263.8</v>
      </c>
    </row>
    <row r="270" spans="1:2">
      <c r="A270" s="1">
        <v>43982</v>
      </c>
      <c r="B270" s="11">
        <v>132787.70000000001</v>
      </c>
    </row>
    <row r="271" spans="1:2">
      <c r="A271" s="1">
        <v>44012</v>
      </c>
      <c r="B271" s="11">
        <v>129087.8</v>
      </c>
    </row>
    <row r="272" spans="1:2">
      <c r="A272" s="1">
        <v>44043</v>
      </c>
      <c r="B272" s="11">
        <v>137674.1</v>
      </c>
    </row>
    <row r="273" spans="1:2">
      <c r="A273" s="1">
        <v>44074</v>
      </c>
      <c r="B273" s="11">
        <v>139111.5</v>
      </c>
    </row>
    <row r="274" spans="1:2">
      <c r="A274" s="1">
        <v>44104</v>
      </c>
      <c r="B274" s="11">
        <v>139496</v>
      </c>
    </row>
    <row r="275" spans="1:2">
      <c r="A275" s="1">
        <v>44135</v>
      </c>
      <c r="B275" s="11">
        <v>143116.6</v>
      </c>
    </row>
    <row r="276" spans="1:2">
      <c r="A276" s="1">
        <v>44165</v>
      </c>
      <c r="B276" s="11">
        <v>144412.5</v>
      </c>
    </row>
    <row r="277" spans="1:2">
      <c r="A277" s="1">
        <v>44196</v>
      </c>
      <c r="B277" s="11">
        <v>154246.20000000001</v>
      </c>
    </row>
    <row r="278" spans="1:2">
      <c r="A278" s="1">
        <v>44227</v>
      </c>
      <c r="B278" s="11">
        <v>157298.5</v>
      </c>
    </row>
    <row r="279" spans="1:2">
      <c r="A279" s="1">
        <v>44255</v>
      </c>
      <c r="B279" s="11">
        <v>163448.80000000002</v>
      </c>
    </row>
    <row r="280" spans="1:2">
      <c r="A280" s="1">
        <v>44286</v>
      </c>
      <c r="B280" s="11">
        <v>158351.5</v>
      </c>
    </row>
    <row r="281" spans="1:2">
      <c r="A281" s="1">
        <v>44316</v>
      </c>
      <c r="B281" s="11">
        <v>155667.1</v>
      </c>
    </row>
    <row r="282" spans="1:2">
      <c r="A282" s="1">
        <v>44347</v>
      </c>
      <c r="B282" s="11">
        <v>162734.1</v>
      </c>
    </row>
    <row r="283" spans="1:2">
      <c r="A283" s="1">
        <v>44377</v>
      </c>
      <c r="B283" s="11">
        <v>159402.20000000001</v>
      </c>
    </row>
    <row r="284" spans="1:2">
      <c r="A284" s="1">
        <v>44408</v>
      </c>
      <c r="B284" s="11">
        <v>163025.09999999998</v>
      </c>
    </row>
    <row r="285" spans="1:2">
      <c r="A285" s="1">
        <v>44439</v>
      </c>
      <c r="B285" s="11">
        <v>169452</v>
      </c>
    </row>
    <row r="286" spans="1:2">
      <c r="A286" s="1">
        <v>44469</v>
      </c>
      <c r="B286" s="11">
        <v>167018.79999999999</v>
      </c>
    </row>
    <row r="287" spans="1:2">
      <c r="A287" s="1">
        <v>44500</v>
      </c>
      <c r="B287" s="11">
        <v>167837.2</v>
      </c>
    </row>
    <row r="288" spans="1:2">
      <c r="A288" s="1">
        <v>44530</v>
      </c>
      <c r="B288" s="11">
        <v>166725.70000000001</v>
      </c>
    </row>
    <row r="289" spans="1:2">
      <c r="A289" s="1">
        <v>44561</v>
      </c>
      <c r="B289" s="11">
        <v>166049.60000000001</v>
      </c>
    </row>
    <row r="290" spans="1:2">
      <c r="A290" s="1">
        <v>44592</v>
      </c>
      <c r="B290" s="11">
        <v>161266.70000000001</v>
      </c>
    </row>
    <row r="291" spans="1:2">
      <c r="A291" s="1">
        <v>44620</v>
      </c>
      <c r="B291" s="11">
        <v>160663.30000000002</v>
      </c>
    </row>
    <row r="292" spans="1:2">
      <c r="A292" s="1">
        <v>44651</v>
      </c>
      <c r="B292" s="11">
        <v>158078.1</v>
      </c>
    </row>
    <row r="293" spans="1:2">
      <c r="A293" s="1">
        <v>44681</v>
      </c>
      <c r="B293" s="11">
        <v>152150.39999999999</v>
      </c>
    </row>
    <row r="294" spans="1:2">
      <c r="A294" s="1">
        <v>44712</v>
      </c>
      <c r="B294" s="11">
        <v>156310.70000000001</v>
      </c>
    </row>
    <row r="295" spans="1:2">
      <c r="A295" s="1">
        <v>44742</v>
      </c>
      <c r="B295" s="11">
        <v>154239.9</v>
      </c>
    </row>
    <row r="296" spans="1:2">
      <c r="A296" s="1">
        <v>44773</v>
      </c>
      <c r="B296" s="11">
        <v>157575</v>
      </c>
    </row>
    <row r="297" spans="1:2">
      <c r="A297" s="1">
        <v>44804</v>
      </c>
      <c r="B297" s="11">
        <v>154791.9</v>
      </c>
    </row>
    <row r="298" spans="1:2">
      <c r="A298" s="1">
        <v>44834</v>
      </c>
      <c r="B298" s="11">
        <v>151595.19999999998</v>
      </c>
    </row>
    <row r="299" spans="1:2">
      <c r="A299" s="1">
        <v>44865</v>
      </c>
      <c r="B299" s="11">
        <v>151671.80000000002</v>
      </c>
    </row>
    <row r="300" spans="1:2">
      <c r="A300" s="1">
        <v>44895</v>
      </c>
      <c r="B300" s="11">
        <v>162410.40000000002</v>
      </c>
    </row>
    <row r="301" spans="1:2">
      <c r="A301" s="1">
        <v>44926</v>
      </c>
      <c r="B301" s="11">
        <v>166694.9</v>
      </c>
    </row>
    <row r="302" spans="1:2">
      <c r="A302" s="1">
        <v>44957</v>
      </c>
      <c r="B302" s="11">
        <v>167221.20000000001</v>
      </c>
    </row>
    <row r="303" spans="1:2">
      <c r="A303" s="1">
        <v>44985</v>
      </c>
      <c r="B303" s="11">
        <v>167821.5</v>
      </c>
    </row>
    <row r="304" spans="1:2">
      <c r="A304" s="1">
        <v>45016</v>
      </c>
      <c r="B304" s="11">
        <v>170361</v>
      </c>
    </row>
    <row r="305" spans="1:2">
      <c r="A305" s="1">
        <v>45046</v>
      </c>
      <c r="B305" s="11">
        <v>178072.19999999998</v>
      </c>
    </row>
    <row r="306" spans="1:2">
      <c r="A306" s="1">
        <v>45077</v>
      </c>
      <c r="B306" s="11">
        <v>176109.2</v>
      </c>
    </row>
    <row r="307" spans="1:2">
      <c r="A307" s="1">
        <v>45107</v>
      </c>
      <c r="B307" s="11">
        <v>180763.3</v>
      </c>
    </row>
    <row r="308" spans="1:2">
      <c r="A308" s="1">
        <v>45138</v>
      </c>
      <c r="B308" s="11">
        <v>181893.3</v>
      </c>
    </row>
    <row r="309" spans="1:2">
      <c r="A309" s="1">
        <v>45169</v>
      </c>
      <c r="B309" s="11">
        <v>182240.8</v>
      </c>
    </row>
    <row r="310" spans="1:2">
      <c r="A310" s="1">
        <v>45199</v>
      </c>
      <c r="B310" s="11">
        <v>180022.7</v>
      </c>
    </row>
    <row r="311" spans="1:2">
      <c r="A311" s="1">
        <v>45230</v>
      </c>
      <c r="B311" s="11">
        <v>177004.4</v>
      </c>
    </row>
    <row r="312" spans="1:2">
      <c r="A312" s="1">
        <v>45260</v>
      </c>
      <c r="B312" s="11">
        <v>186712.4</v>
      </c>
    </row>
    <row r="313" spans="1:2">
      <c r="A313" s="1">
        <v>45291</v>
      </c>
      <c r="B313" s="11">
        <v>193812.3</v>
      </c>
    </row>
    <row r="314" spans="1:2">
      <c r="A314" s="1">
        <v>45322</v>
      </c>
      <c r="B314" s="11">
        <v>189558.9</v>
      </c>
    </row>
    <row r="315" spans="1:2">
      <c r="A315" s="1">
        <v>45351</v>
      </c>
      <c r="B315" s="11">
        <v>187995.6</v>
      </c>
    </row>
    <row r="316" spans="1:2">
      <c r="A316" s="1">
        <v>45382</v>
      </c>
      <c r="B316" s="11">
        <v>202499.80000000002</v>
      </c>
    </row>
    <row r="317" spans="1:2">
      <c r="A317" s="1">
        <v>45412</v>
      </c>
      <c r="B317" s="11">
        <v>206097.4</v>
      </c>
    </row>
    <row r="318" spans="1:2">
      <c r="A318" s="1">
        <v>45443</v>
      </c>
      <c r="B318" s="11">
        <v>207820.1</v>
      </c>
    </row>
    <row r="319" spans="1:2">
      <c r="A319" s="1">
        <v>45473</v>
      </c>
      <c r="B319" s="11">
        <v>209568.7</v>
      </c>
    </row>
    <row r="320" spans="1:2">
      <c r="A320" s="1">
        <v>45504</v>
      </c>
      <c r="B320" s="11">
        <v>206204.5</v>
      </c>
    </row>
    <row r="321" spans="1:2">
      <c r="A321" s="1">
        <v>45535</v>
      </c>
      <c r="B321" s="11">
        <v>213297.3</v>
      </c>
    </row>
    <row r="322" spans="1:2">
      <c r="A322" s="1">
        <v>45565</v>
      </c>
      <c r="B322" s="11">
        <v>218812.80000000002</v>
      </c>
    </row>
    <row r="323" spans="1:2">
      <c r="A323" s="1">
        <v>45596</v>
      </c>
      <c r="B323" s="11">
        <v>215455.4</v>
      </c>
    </row>
    <row r="324" spans="1:2">
      <c r="A324" s="1">
        <v>45626</v>
      </c>
      <c r="B324" s="11">
        <v>218379.40000000002</v>
      </c>
    </row>
    <row r="325" spans="1:2">
      <c r="A325" s="1">
        <v>45657</v>
      </c>
      <c r="B325" s="11">
        <v>223166.40000000002</v>
      </c>
    </row>
    <row r="326" spans="1:2">
      <c r="A326" s="1">
        <v>45688</v>
      </c>
      <c r="B326" s="11">
        <v>225419.90000000002</v>
      </c>
    </row>
    <row r="327" spans="1:2">
      <c r="A327" s="1">
        <v>45716</v>
      </c>
      <c r="B327" s="11">
        <v>229217.2</v>
      </c>
    </row>
    <row r="328" spans="1:2">
      <c r="A328" s="1">
        <v>45747</v>
      </c>
      <c r="B328" s="11">
        <v>237494</v>
      </c>
    </row>
    <row r="329" spans="1:2">
      <c r="A329" s="1">
        <v>45777</v>
      </c>
      <c r="B329" s="11">
        <v>242430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c3e69d3-af56-4cda-9271-07ff5989b30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0D0054B5B5B924B8BCB94A92A32E795" ma:contentTypeVersion="13" ma:contentTypeDescription="Utwórz nowy dokument." ma:contentTypeScope="" ma:versionID="186d9063e8df1117f65421f4da2e97d3">
  <xsd:schema xmlns:xsd="http://www.w3.org/2001/XMLSchema" xmlns:xs="http://www.w3.org/2001/XMLSchema" xmlns:p="http://schemas.microsoft.com/office/2006/metadata/properties" xmlns:ns3="5c3e69d3-af56-4cda-9271-07ff5989b304" xmlns:ns4="80974b30-870d-45ca-82c4-0d9c7a28189e" targetNamespace="http://schemas.microsoft.com/office/2006/metadata/properties" ma:root="true" ma:fieldsID="cbd68f3f653545359dbd20ff9fdb0662" ns3:_="" ns4:_="">
    <xsd:import namespace="5c3e69d3-af56-4cda-9271-07ff5989b304"/>
    <xsd:import namespace="80974b30-870d-45ca-82c4-0d9c7a2818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3e69d3-af56-4cda-9271-07ff5989b3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974b30-870d-45ca-82c4-0d9c7a28189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239CAB7E-AE4C-41B6-86BA-82B11B9CA6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1CF5F0-40DA-4D48-A076-FD5DDCF13D85}">
  <ds:schemaRefs>
    <ds:schemaRef ds:uri="http://purl.org/dc/terms/"/>
    <ds:schemaRef ds:uri="http://purl.org/dc/dcmitype/"/>
    <ds:schemaRef ds:uri="http://schemas.microsoft.com/office/2006/documentManagement/types"/>
    <ds:schemaRef ds:uri="5c3e69d3-af56-4cda-9271-07ff5989b304"/>
    <ds:schemaRef ds:uri="http://schemas.openxmlformats.org/package/2006/metadata/core-properties"/>
    <ds:schemaRef ds:uri="http://purl.org/dc/elements/1.1/"/>
    <ds:schemaRef ds:uri="80974b30-870d-45ca-82c4-0d9c7a28189e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EB7C9D77-88A0-4305-AB57-F58D2CCFD9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3e69d3-af56-4cda-9271-07ff5989b304"/>
    <ds:schemaRef ds:uri="80974b30-870d-45ca-82c4-0d9c7a2818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0CB119E-E1E1-4E93-8645-55B5A6A213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Inflation</vt:lpstr>
      <vt:lpstr>Interest Rate</vt:lpstr>
      <vt:lpstr>M2</vt:lpstr>
      <vt:lpstr>Industry Production</vt:lpstr>
      <vt:lpstr>Import Export</vt:lpstr>
      <vt:lpstr>USDPLN</vt:lpstr>
      <vt:lpstr>Foreign Reservs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Dzięgielewski (187261)</dc:creator>
  <cp:lastModifiedBy>Mateusz Dzięgielewski (187261)</cp:lastModifiedBy>
  <dcterms:created xsi:type="dcterms:W3CDTF">2025-05-11T05:55:01Z</dcterms:created>
  <dcterms:modified xsi:type="dcterms:W3CDTF">2025-12-14T13:44:59Z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0x01010060D0054B5B5B924B8BCB94A92A32E795</vt:lpwstr>
  </property>
</Properties>
</file>